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Discrepancy log" sheetId="1" state="visible" r:id="rId3"/>
    <sheet name="Counts by category" sheetId="2" state="visible" r:id="rId4"/>
  </sheets>
  <definedNames>
    <definedName function="false" hidden="true" localSheetId="0" name="_xlnm._FilterDatabase" vbProcedure="false">'Discrepancy log'!$A$1:$Q$195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<sst xmlns="http://schemas.openxmlformats.org/spreadsheetml/2006/main" count="3120" uniqueCount="1326">
  <si>
    <t xml:space="preserve">Log ID</t>
  </si>
  <si>
    <t xml:space="preserve">Review ID</t>
  </si>
  <si>
    <t xml:space="preserve">Incident ID</t>
  </si>
  <si>
    <t xml:space="preserve">Event date</t>
  </si>
  <si>
    <t xml:space="preserve">Field</t>
  </si>
  <si>
    <t xml:space="preserve">Recorded code</t>
  </si>
  <si>
    <t xml:space="preserve">Recorded title</t>
  </si>
  <si>
    <t xml:space="preserve">My code</t>
  </si>
  <si>
    <t xml:space="preserve">My title</t>
  </si>
  <si>
    <t xml:space="preserve">My acceptable alternates</t>
  </si>
  <si>
    <t xml:space="preserve">Relationship between codes</t>
  </si>
  <si>
    <t xml:space="preserve">Recorded code in my alternates?</t>
  </si>
  <si>
    <t xml:space="preserve">Blind stage inconclusive?</t>
  </si>
  <si>
    <t xml:space="preserve">Category</t>
  </si>
  <si>
    <t xml:space="preserve">Applicable manual rule (OIICS 3.03)</t>
  </si>
  <si>
    <t xml:space="preserve">Reviewer justification</t>
  </si>
  <si>
    <t xml:space="preserve">Narrative (line breaks removed)</t>
  </si>
  <si>
    <t xml:space="preserve">D001</t>
  </si>
  <si>
    <t xml:space="preserve">2024064855</t>
  </si>
  <si>
    <t xml:space="preserve">2024-06-03</t>
  </si>
  <si>
    <t xml:space="preserve">Part of body</t>
  </si>
  <si>
    <t xml:space="preserve">523</t>
  </si>
  <si>
    <t xml:space="preserve">Lower leg(s)</t>
  </si>
  <si>
    <t xml:space="preserve">522</t>
  </si>
  <si>
    <t xml:space="preserve">Knee(s)</t>
  </si>
  <si>
    <t xml:space="preserve">Same major group (2-digit)</t>
  </si>
  <si>
    <t xml:space="preserve">No</t>
  </si>
  <si>
    <t xml:space="preserve">Potential discrepancy: recorded code conflicts with text</t>
  </si>
  <si>
    <t xml:space="preserve">Part rules of selection</t>
  </si>
  <si>
    <t xml:space="preserve">Narrative states bite on the back of the knee; recorded lower leg (523).</t>
  </si>
  <si>
    <t xml:space="preserve">An employee was spraying vegetation around power lines where the grass was tall. He was bitten on the back of his knee by a snake. The employee was hospitalized with swelling, pain, and discoloration.</t>
  </si>
  <si>
    <t xml:space="preserve">D002</t>
  </si>
  <si>
    <t xml:space="preserve">2024010565</t>
  </si>
  <si>
    <t xml:space="preserve">2024-01-18</t>
  </si>
  <si>
    <t xml:space="preserve">Event/Exposure</t>
  </si>
  <si>
    <t xml:space="preserve">653</t>
  </si>
  <si>
    <t xml:space="preserve">Caught, entangled in running powered equipment — normal operation</t>
  </si>
  <si>
    <t xml:space="preserve">650</t>
  </si>
  <si>
    <t xml:space="preserve">Struck by running powered equipment— unspecified</t>
  </si>
  <si>
    <t xml:space="preserve">659</t>
  </si>
  <si>
    <t xml:space="preserve">Event rules of selection</t>
  </si>
  <si>
    <t xml:space="preserve">Table-saw blade cutting the thumb is contact with a running blade (650/659), not being caught/entangled (653).</t>
  </si>
  <si>
    <t xml:space="preserve">An employee was using an industrial table saw when it amputated his thumb and caused a severe laceration to his palm.</t>
  </si>
  <si>
    <t xml:space="preserve">D003</t>
  </si>
  <si>
    <t xml:space="preserve">2024076269</t>
  </si>
  <si>
    <t xml:space="preserve">2024-07-11</t>
  </si>
  <si>
    <t xml:space="preserve">Secondary source</t>
  </si>
  <si>
    <t xml:space="preserve">6624</t>
  </si>
  <si>
    <t xml:space="preserve">Other constructed surface</t>
  </si>
  <si>
    <t xml:space="preserve">4223</t>
  </si>
  <si>
    <t xml:space="preserve">Pipes, tubes— metal</t>
  </si>
  <si>
    <t xml:space="preserve">Different division</t>
  </si>
  <si>
    <t xml:space="preserve">Source/Secondary source rule 1 (follow the Event's "Coding interactions"; 990 vs 991) and rule 2 (whole vs part)</t>
  </si>
  <si>
    <t xml:space="preserve">Pipe that struck the ladder initiated the event; recorded secondary source is the floor surface.</t>
  </si>
  <si>
    <t xml:space="preserve">On July 11, 2024, an employee was reconnecting two pipes when one of them rolled off the support that was holding it up. It struck the employee's A-frame ladder and they fell 7.5 feet from the ladder to the floor below. The employee suffered a contusion and lacerations and was hospitalized.</t>
  </si>
  <si>
    <t xml:space="preserve">D004</t>
  </si>
  <si>
    <t xml:space="preserve">2024109397</t>
  </si>
  <si>
    <t xml:space="preserve">2024-10-08</t>
  </si>
  <si>
    <t xml:space="preserve">Nature</t>
  </si>
  <si>
    <t xml:space="preserve">6121</t>
  </si>
  <si>
    <t xml:space="preserve">Damage to replaced joints</t>
  </si>
  <si>
    <t xml:space="preserve">124</t>
  </si>
  <si>
    <t xml:space="preserve">Fractures</t>
  </si>
  <si>
    <t xml:space="preserve">Nature rules of selection</t>
  </si>
  <si>
    <t xml:space="preserve">Recorded 'damage to replaced joints' is not supported by a narrative describing a fracture of the knee after a trip.</t>
  </si>
  <si>
    <t xml:space="preserve">An employee was walking to his car when he tripped over a board that was secured to the floor of the dock area. His left knee struck the cement dock. The employee was hospitalized and required surgery to repair a broken knee.</t>
  </si>
  <si>
    <t xml:space="preserve">D005</t>
  </si>
  <si>
    <t xml:space="preserve">2024076056</t>
  </si>
  <si>
    <t xml:space="preserve">2024-07-06</t>
  </si>
  <si>
    <t xml:space="preserve">990</t>
  </si>
  <si>
    <t xml:space="preserve">Event or exposure — unspecified</t>
  </si>
  <si>
    <t xml:space="preserve">2530</t>
  </si>
  <si>
    <t xml:space="preserve">Pedestrian struck by vehicle in nonroadway area— unspecified</t>
  </si>
  <si>
    <t xml:space="preserve">2532, 2531, 655</t>
  </si>
  <si>
    <t xml:space="preserve">Potential discrepancy: recorded code less specific</t>
  </si>
  <si>
    <t xml:space="preserve">Event rule 1 (code that best describes the harmful incident)</t>
  </si>
  <si>
    <t xml:space="preserve">Narrative supports a vehicle (forklift) running over a pedestrian worker; recorded 990 is less specific.</t>
  </si>
  <si>
    <t xml:space="preserve">An employee was working on the sales floor when his right foot was run over by a forklift. The employee sustained a fractured little toe.</t>
  </si>
  <si>
    <t xml:space="preserve">D006</t>
  </si>
  <si>
    <t xml:space="preserve">2024087970</t>
  </si>
  <si>
    <t xml:space="preserve">2024-08-27</t>
  </si>
  <si>
    <t xml:space="preserve">6619</t>
  </si>
  <si>
    <t xml:space="preserve">Injured by object handled by person— n.e.c.</t>
  </si>
  <si>
    <t xml:space="preserve">661, 663, 664, 6612, 6611</t>
  </si>
  <si>
    <t xml:space="preserve">Narrative supports a specific event (struck by shifting object handled by worker); recorded 990 is less specific.</t>
  </si>
  <si>
    <t xml:space="preserve">An employee was moving metal repair parts from the ground to a vehicle. The metal shifted in transit and amputated the employee's left middle fingertip.</t>
  </si>
  <si>
    <t xml:space="preserve">D007</t>
  </si>
  <si>
    <t xml:space="preserve">2024032393</t>
  </si>
  <si>
    <t xml:space="preserve">2024-03-18</t>
  </si>
  <si>
    <t xml:space="preserve">Source</t>
  </si>
  <si>
    <t xml:space="preserve">360</t>
  </si>
  <si>
    <t xml:space="preserve">Special process machinery — unspecified</t>
  </si>
  <si>
    <t xml:space="preserve">3642</t>
  </si>
  <si>
    <t xml:space="preserve">Rollers, calenders, dryers—paper production</t>
  </si>
  <si>
    <t xml:space="preserve">364, 3640</t>
  </si>
  <si>
    <t xml:space="preserve">Narrative identifies paper-processing rollers; recorded 360 (special process machinery, unspecified) is less specific.</t>
  </si>
  <si>
    <t xml:space="preserve">An employee was putting paper through the rolls on a machine when their gloved hand became entangled in the rollers. The employee's forearm was pulled into the machine between the belt-driven roller and a hot, steam-heated roller. The employee's right forearm sustained burn injuries that required hospitalization and surgical repair.</t>
  </si>
  <si>
    <t xml:space="preserve">D008</t>
  </si>
  <si>
    <t xml:space="preserve">2024076773</t>
  </si>
  <si>
    <t xml:space="preserve">2024-07-25</t>
  </si>
  <si>
    <t xml:space="preserve">Struck by running powered equipment — unspecified</t>
  </si>
  <si>
    <t xml:space="preserve">Caught, entangled in running powered equipment— normal operation</t>
  </si>
  <si>
    <t xml:space="preserve">662, 654</t>
  </si>
  <si>
    <t xml:space="preserve">Arm pulled between roller and drum is caught/compressed in running equipment (653); recorded 650 is less specific.</t>
  </si>
  <si>
    <t xml:space="preserve">An employee was threading film through a machine. The film got caught on the casting drum, pulling the film and employee's arm between a roller and the casting drum. The employee sustained a friction burn.</t>
  </si>
  <si>
    <t xml:space="preserve">D009</t>
  </si>
  <si>
    <t xml:space="preserve">30</t>
  </si>
  <si>
    <t xml:space="preserve">Machinery — unspecified</t>
  </si>
  <si>
    <t xml:space="preserve">3511</t>
  </si>
  <si>
    <t xml:space="preserve">Casting machinery</t>
  </si>
  <si>
    <t xml:space="preserve">351, 352, 3414, 3640</t>
  </si>
  <si>
    <t xml:space="preserve">Same division only</t>
  </si>
  <si>
    <t xml:space="preserve">Narrative identifies a casting drum/film machine; recorded 30 is less specific.</t>
  </si>
  <si>
    <t xml:space="preserve">D010</t>
  </si>
  <si>
    <t xml:space="preserve">2024021550</t>
  </si>
  <si>
    <t xml:space="preserve">2024-02-19</t>
  </si>
  <si>
    <t xml:space="preserve">320</t>
  </si>
  <si>
    <t xml:space="preserve">Fire — unspecified</t>
  </si>
  <si>
    <t xml:space="preserve">324</t>
  </si>
  <si>
    <t xml:space="preserve">Vehicle or machinery fire</t>
  </si>
  <si>
    <t xml:space="preserve">323, 320, 325</t>
  </si>
  <si>
    <t xml:space="preserve">Yes</t>
  </si>
  <si>
    <t xml:space="preserve">Fire involving a pump suggests machinery fire (324); recorded 320 is less specific.</t>
  </si>
  <si>
    <t xml:space="preserve">A fire involving a vacuum pump in the hospital basement caused an employee to suffer smoke inhalation.</t>
  </si>
  <si>
    <t xml:space="preserve">D011</t>
  </si>
  <si>
    <t xml:space="preserve">20241211414</t>
  </si>
  <si>
    <t xml:space="preserve">2024-12-10</t>
  </si>
  <si>
    <t xml:space="preserve">189</t>
  </si>
  <si>
    <t xml:space="preserve">Other multiple traumatic injuries — n.e.c.</t>
  </si>
  <si>
    <t xml:space="preserve">1825</t>
  </si>
  <si>
    <t xml:space="preserve">Fractures and burns</t>
  </si>
  <si>
    <t xml:space="preserve">189, 1841, 1531</t>
  </si>
  <si>
    <t xml:space="preserve">Nature rule 3 (multiple injuries) and rule 4.a</t>
  </si>
  <si>
    <t xml:space="preserve">Dislocated/broken shoulder plus burns have a specific combination code (1825); recorded 189 n.e.c. is less specific.</t>
  </si>
  <si>
    <t xml:space="preserve">An employee was on a ladder inside a ceiling grid to strip a live electrical wire. The wire stripper he was holding contacted the live wire, resulting in a shock that caused him to fall from the ladder. The employee suffered a dislocated and broken left shoulder as well as second- and third-degree burns on his left finger.</t>
  </si>
  <si>
    <t xml:space="preserve">D012</t>
  </si>
  <si>
    <t xml:space="preserve">2024010089</t>
  </si>
  <si>
    <t xml:space="preserve">2024-01-04</t>
  </si>
  <si>
    <t xml:space="preserve">350</t>
  </si>
  <si>
    <t xml:space="preserve">Metal, woodworking, and special material machinery — unspecified</t>
  </si>
  <si>
    <t xml:space="preserve">3529</t>
  </si>
  <si>
    <t xml:space="preserve">Bending, rolling, shaping, stamping machinery— n.e.c.</t>
  </si>
  <si>
    <t xml:space="preserve">352, 3520</t>
  </si>
  <si>
    <t xml:space="preserve">Triangle roller is a bending/rolling machine (3529); recorded 350 is less specific.</t>
  </si>
  <si>
    <t xml:space="preserve">An employee was feeding a piece of metal into a triangle roller. The roller caught the employee's welding glove and pulled in their left hand, breaking three fingers and causing a degloving injury. The machine was unguarded at the time of the incident.</t>
  </si>
  <si>
    <t xml:space="preserve">D013</t>
  </si>
  <si>
    <t xml:space="preserve">2024054302</t>
  </si>
  <si>
    <t xml:space="preserve">2024-05-15</t>
  </si>
  <si>
    <t xml:space="preserve">540</t>
  </si>
  <si>
    <t xml:space="preserve">Foot (feet), toe(s) — unspecified</t>
  </si>
  <si>
    <t xml:space="preserve">541</t>
  </si>
  <si>
    <t xml:space="preserve">Foot (feet)— excluding toes</t>
  </si>
  <si>
    <t xml:space="preserve">Part rule 1 (highest level of detail supported by the case information)</t>
  </si>
  <si>
    <t xml:space="preserve">Narrative states fractured foot; 541 (foot, excluding toes) is supported and more specific than 540.</t>
  </si>
  <si>
    <t xml:space="preserve">An employee was moving a piece of lashing gear obstructing the walkway on a cargo ship when he slipped and fell through a ladder access hatch to the deck below. He sustained a fractured left foot.</t>
  </si>
  <si>
    <t xml:space="preserve">D014</t>
  </si>
  <si>
    <t xml:space="preserve">20241110591</t>
  </si>
  <si>
    <t xml:space="preserve">2024-11-13</t>
  </si>
  <si>
    <t xml:space="preserve">533</t>
  </si>
  <si>
    <t xml:space="preserve">Contact with hot objects or substances</t>
  </si>
  <si>
    <t xml:space="preserve">513, 550</t>
  </si>
  <si>
    <t xml:space="preserve">Welding burns support contact with hot objects/substances; recorded 990 is less specific.</t>
  </si>
  <si>
    <t xml:space="preserve">A employee was welding and an assistant was handing him welding rods. The welder received burns to his hands and face and was not hospitalized. The assistant received first- and second-degree burns to their hands, neck, and face that required hospitalization.</t>
  </si>
  <si>
    <t xml:space="preserve">D015</t>
  </si>
  <si>
    <t xml:space="preserve">Source, secondary source — unspecified</t>
  </si>
  <si>
    <t xml:space="preserve">7181</t>
  </si>
  <si>
    <t xml:space="preserve">Torches— welding, cutting</t>
  </si>
  <si>
    <t xml:space="preserve">718, 3595, 7180</t>
  </si>
  <si>
    <t xml:space="preserve">Welding torch/rods supported; recorded 990 is less specific.</t>
  </si>
  <si>
    <t xml:space="preserve">D016</t>
  </si>
  <si>
    <t xml:space="preserve">2024065448</t>
  </si>
  <si>
    <t xml:space="preserve">2024-06-19</t>
  </si>
  <si>
    <t xml:space="preserve">310</t>
  </si>
  <si>
    <t xml:space="preserve">Explosion — unspecified</t>
  </si>
  <si>
    <t xml:space="preserve">313</t>
  </si>
  <si>
    <t xml:space="preserve">Explosion of pressure vessel, piping, or tire</t>
  </si>
  <si>
    <t xml:space="preserve">642, 319</t>
  </si>
  <si>
    <t xml:space="preserve">Air spring burst is a pressure-vessel type explosion (313); recorded 310 is less specific.</t>
  </si>
  <si>
    <t xml:space="preserve">An employee was making an adjustment to the air spring system on a truck when the air spring on the driver's side inflated and exploded. The sudden release of air pressure propelled the employee's head into the truck's frame, resulting in serious injury to their head and hearing.</t>
  </si>
  <si>
    <t xml:space="preserve">D017</t>
  </si>
  <si>
    <t xml:space="preserve">2024109199</t>
  </si>
  <si>
    <t xml:space="preserve">2024-10-02</t>
  </si>
  <si>
    <t xml:space="preserve">1230</t>
  </si>
  <si>
    <t xml:space="preserve">Injuries to internal organs, major blood vessels — unspecified</t>
  </si>
  <si>
    <t xml:space="preserve">1232</t>
  </si>
  <si>
    <t xml:space="preserve">Closed trauma involving internal organs, major blood vessels</t>
  </si>
  <si>
    <t xml:space="preserve">123, 1230, 1231</t>
  </si>
  <si>
    <t xml:space="preserve">Same minor group (3-digit)</t>
  </si>
  <si>
    <t xml:space="preserve">Nature rules 1 and 2.a (highest level of detail supported by the case information)</t>
  </si>
  <si>
    <t xml:space="preserve">Large-intestine injury; 1232 (closed trauma) is more specific than 1230.</t>
  </si>
  <si>
    <t xml:space="preserve">An employee was operating a walk-behind mower with a standing attachment when the mower hit a large rock, causing it to stop. The employee was thrown forward and hit his abdomen on the handle control bar on the mower. The employee sustained an injury to his large intestine.</t>
  </si>
  <si>
    <t xml:space="preserve">D018</t>
  </si>
  <si>
    <t xml:space="preserve">330</t>
  </si>
  <si>
    <t xml:space="preserve">Abdomen — unspecified</t>
  </si>
  <si>
    <t xml:space="preserve">3333</t>
  </si>
  <si>
    <t xml:space="preserve">Large intestine, colon, rectum</t>
  </si>
  <si>
    <t xml:space="preserve">333, 3330, 338</t>
  </si>
  <si>
    <t xml:space="preserve">Part rule 2.a (external vs internal part)</t>
  </si>
  <si>
    <t xml:space="preserve">Narrative names an injury to the large intestine; Part rule 2.a.2 says to code the specific organ when known (3333). Recorded 330 (abdomen, unspecified) is less specific.</t>
  </si>
  <si>
    <t xml:space="preserve">D019</t>
  </si>
  <si>
    <t xml:space="preserve">20241110316</t>
  </si>
  <si>
    <t xml:space="preserve">2024-11-05</t>
  </si>
  <si>
    <t xml:space="preserve">8430</t>
  </si>
  <si>
    <t xml:space="preserve">Trucks — unspecified</t>
  </si>
  <si>
    <t xml:space="preserve">8420</t>
  </si>
  <si>
    <t xml:space="preserve">Trucks with mounted machines, equipment— unspecified</t>
  </si>
  <si>
    <t xml:space="preserve">843, 84</t>
  </si>
  <si>
    <t xml:space="preserve">Narrative mentions a lift gate; recorded 8430 is less specific than a truck with mounted equipment (8420).</t>
  </si>
  <si>
    <t xml:space="preserve">An employee was putting out road barrels for traffic control and standing on the lift gate of a traffic truck with a driver in the driver's seat. The truck was struck from behind by a tractor trailer and the employee was thrown to the ground. The driver of the truck sustained injuries and was not hospitalized. The employee was hospitalized with a laceration to the head and a concussion, as well as a fractured femur that required surgery.</t>
  </si>
  <si>
    <t xml:space="preserve">D020</t>
  </si>
  <si>
    <t xml:space="preserve">2024031897</t>
  </si>
  <si>
    <t xml:space="preserve">2024-03-01</t>
  </si>
  <si>
    <t xml:space="preserve">Explosions and fires — unspecified</t>
  </si>
  <si>
    <t xml:space="preserve">Fire— unspecified</t>
  </si>
  <si>
    <t xml:space="preserve">319, 325, 314, 5559</t>
  </si>
  <si>
    <t xml:space="preserve">Chemical reaction causing combustion supports a fire/explosion specific code; recorded 30 is less specific.</t>
  </si>
  <si>
    <t xml:space="preserve">An employee was transferring a chemical from a larger tote through a pumping system into a drum. When the chemical (a catalyst instead of the intended binder chemical) was pumped into the drum, a chemical reaction occurred and the barrel combusted. The employee suffered first-degree chemical burns to the face and second-degree chemical burns to the left forearm, back, and head.</t>
  </si>
  <si>
    <t xml:space="preserve">D021</t>
  </si>
  <si>
    <t xml:space="preserve">2024053892</t>
  </si>
  <si>
    <t xml:space="preserve">2024-05-03</t>
  </si>
  <si>
    <t xml:space="preserve">660</t>
  </si>
  <si>
    <t xml:space="preserve">Ground, travel, and support surfaces — unspecified</t>
  </si>
  <si>
    <t xml:space="preserve">6636</t>
  </si>
  <si>
    <t xml:space="preserve">Ground</t>
  </si>
  <si>
    <t xml:space="preserve">660, 990, 991</t>
  </si>
  <si>
    <t xml:space="preserve">Ground surface is stated; recorded 660 is less specific than 6636.</t>
  </si>
  <si>
    <t xml:space="preserve">An employee was working on the roof of a one-story residence when he fell approximately 10 feet to the ground. He lost consciousness and sustained a concussion and fracture near the tailbone. The employee was hospitalized.</t>
  </si>
  <si>
    <t xml:space="preserve">D022</t>
  </si>
  <si>
    <t xml:space="preserve">2024087238</t>
  </si>
  <si>
    <t xml:space="preserve">2024-08-07</t>
  </si>
  <si>
    <t xml:space="preserve">199</t>
  </si>
  <si>
    <t xml:space="preserve">Other traumatic injuries — n.e.c.</t>
  </si>
  <si>
    <t xml:space="preserve">1440</t>
  </si>
  <si>
    <t xml:space="preserve">Sprains, strains, tears— unspecified</t>
  </si>
  <si>
    <t xml:space="preserve">1441, 1442, 140, 1722, 1721</t>
  </si>
  <si>
    <t xml:space="preserve">Insufficient narrative information</t>
  </si>
  <si>
    <t xml:space="preserve">'Muscle injury' from heat/overexertion is not specific enough to confirm 199 vs a sprain/strain or other nature.</t>
  </si>
  <si>
    <t xml:space="preserve">An employee was performing skills training in the heat when they became overexerted and were hospitalized with a muscle injury.</t>
  </si>
  <si>
    <t xml:space="preserve">D023</t>
  </si>
  <si>
    <t xml:space="preserve">883</t>
  </si>
  <si>
    <t xml:space="preserve">Body systems and other part(s) of body</t>
  </si>
  <si>
    <t xml:space="preserve">Part of body— unspecified</t>
  </si>
  <si>
    <t xml:space="preserve">888</t>
  </si>
  <si>
    <t xml:space="preserve">Blind coder flagged this field inconclusive; narrative does not give enough detail.</t>
  </si>
  <si>
    <t xml:space="preserve">D024</t>
  </si>
  <si>
    <t xml:space="preserve">20241211148</t>
  </si>
  <si>
    <t xml:space="preserve">2024-12-03</t>
  </si>
  <si>
    <t xml:space="preserve">736</t>
  </si>
  <si>
    <t xml:space="preserve">Walking, without other incident</t>
  </si>
  <si>
    <t xml:space="preserve">Event or exposure— unspecified</t>
  </si>
  <si>
    <t xml:space="preserve">736, 6651, 432, 6659</t>
  </si>
  <si>
    <t xml:space="preserve">An employee was unloading boxes when they stepped back and fractured their knee.</t>
  </si>
  <si>
    <t xml:space="preserve">D025</t>
  </si>
  <si>
    <t xml:space="preserve">562</t>
  </si>
  <si>
    <t xml:space="preserve">Bodily motion or position of injured, ill worker</t>
  </si>
  <si>
    <t xml:space="preserve">Source, secondary source— unspecified</t>
  </si>
  <si>
    <t xml:space="preserve">2112</t>
  </si>
  <si>
    <t xml:space="preserve">D026</t>
  </si>
  <si>
    <t xml:space="preserve">991</t>
  </si>
  <si>
    <t xml:space="preserve">Secondary source not applicable</t>
  </si>
  <si>
    <t xml:space="preserve">D027</t>
  </si>
  <si>
    <t xml:space="preserve">2024010693</t>
  </si>
  <si>
    <t xml:space="preserve">2024-01-23</t>
  </si>
  <si>
    <t xml:space="preserve">110</t>
  </si>
  <si>
    <t xml:space="preserve">Injuries to the brain, spinal cord — unspecified</t>
  </si>
  <si>
    <t xml:space="preserve">100</t>
  </si>
  <si>
    <t xml:space="preserve">Traumatic injuries or exposures— unspecified</t>
  </si>
  <si>
    <t xml:space="preserve">110, 1113, 134, 132</t>
  </si>
  <si>
    <t xml:space="preserve">'Head injury' alone does not specify brain injury; recorded 110 needs detail not in the narrative.</t>
  </si>
  <si>
    <t xml:space="preserve">An employee was walking to the break room when they slipped on a puddle of rain water on the floor and fell. The employee suffered a head injury.</t>
  </si>
  <si>
    <t xml:space="preserve">D028</t>
  </si>
  <si>
    <t xml:space="preserve">111</t>
  </si>
  <si>
    <t xml:space="preserve">Brain</t>
  </si>
  <si>
    <t xml:space="preserve">10</t>
  </si>
  <si>
    <t xml:space="preserve">Head— unspecified</t>
  </si>
  <si>
    <t xml:space="preserve">Recorded brain (111); narrative says only 'head injury'.</t>
  </si>
  <si>
    <t xml:space="preserve">D029</t>
  </si>
  <si>
    <t xml:space="preserve">Whether a secondary source exists (990) or not (991) cannot be determined from the narrative.</t>
  </si>
  <si>
    <t xml:space="preserve">D030</t>
  </si>
  <si>
    <t xml:space="preserve">2024075973</t>
  </si>
  <si>
    <t xml:space="preserve">2024-07-03</t>
  </si>
  <si>
    <t xml:space="preserve">Whether a secondary source applies cannot be determined from the narrative.</t>
  </si>
  <si>
    <t xml:space="preserve">An employee was installing articles of pyrotechnics when pyrotechnics misfired and blasted, resulting in injury to their hands.</t>
  </si>
  <si>
    <t xml:space="preserve">D031</t>
  </si>
  <si>
    <t xml:space="preserve">2024021494</t>
  </si>
  <si>
    <t xml:space="preserve">2024-02-16</t>
  </si>
  <si>
    <t xml:space="preserve">51</t>
  </si>
  <si>
    <t xml:space="preserve">Hip joint(s)</t>
  </si>
  <si>
    <t xml:space="preserve">5861</t>
  </si>
  <si>
    <t xml:space="preserve">Hip(s) and knee(s)</t>
  </si>
  <si>
    <t xml:space="preserve">580, 589</t>
  </si>
  <si>
    <t xml:space="preserve">Narrative describes two injured workers with hip and knee injuries; the recorded part covers only one injury. Cannot tell which worker the record describes.</t>
  </si>
  <si>
    <t xml:space="preserve">Two employees were in a powered industrial vehicle. The vehicle hit a patch of dirt while traveling from a warehouse to a satellite camp and struck a light post. Both employees suffered injuries to the lower extremities. One employee needed stitches in their knee and hip surgery; the other employee needed stitches in their leg and hip surgery.</t>
  </si>
  <si>
    <t xml:space="preserve">D032</t>
  </si>
  <si>
    <t xml:space="preserve">2024010166</t>
  </si>
  <si>
    <t xml:space="preserve">2024-01-08</t>
  </si>
  <si>
    <t xml:space="preserve">119</t>
  </si>
  <si>
    <t xml:space="preserve">Intentional violence by other person — n.e.c.</t>
  </si>
  <si>
    <t xml:space="preserve">4142</t>
  </si>
  <si>
    <t xml:space="preserve">Other fall to lower level— 6 to 30 feet</t>
  </si>
  <si>
    <t xml:space="preserve">4122, 4140, 414</t>
  </si>
  <si>
    <t xml:space="preserve">Narrative does not state the ladder was shaken intentionally; Event 119 requires intent that the narrative does not establish.</t>
  </si>
  <si>
    <t xml:space="preserve">The injured employee fell from a 10-foot step ladder that was being shaken by another employee. The employee landed on the concrete floor and suffered shoulder and head injuries.</t>
  </si>
  <si>
    <t xml:space="preserve">D033</t>
  </si>
  <si>
    <t xml:space="preserve">2024098301</t>
  </si>
  <si>
    <t xml:space="preserve">2024-09-06</t>
  </si>
  <si>
    <t xml:space="preserve">4216</t>
  </si>
  <si>
    <t xml:space="preserve">Rods, reinforcing bar (rebar) metal</t>
  </si>
  <si>
    <t xml:space="preserve">Narrative does not identify what struck the eye; rebar as secondary source cannot be confirmed.</t>
  </si>
  <si>
    <t xml:space="preserve">An employee was installing rebar when they sustained an injury to their eye.</t>
  </si>
  <si>
    <t xml:space="preserve">D034</t>
  </si>
  <si>
    <t xml:space="preserve">Whether a secondary source applies cannot be determined.</t>
  </si>
  <si>
    <t xml:space="preserve">D035</t>
  </si>
  <si>
    <t xml:space="preserve">2024043396</t>
  </si>
  <si>
    <t xml:space="preserve">2024-04-18</t>
  </si>
  <si>
    <t xml:space="preserve">On April 18, 2024, an employee was standing on equipment to clear a machine jam when his foot slipped. He suffered a severe laceration and was hospitalized. A safety railing was in place at the time of the incident.</t>
  </si>
  <si>
    <t xml:space="preserve">D036</t>
  </si>
  <si>
    <t xml:space="preserve">2024032582</t>
  </si>
  <si>
    <t xml:space="preserve">2024-03-22</t>
  </si>
  <si>
    <t xml:space="preserve">Chemicals and hazardous materials — unspecified</t>
  </si>
  <si>
    <t xml:space="preserve">4179</t>
  </si>
  <si>
    <t xml:space="preserve">Garbage, recyclables, debris— n.e.c.</t>
  </si>
  <si>
    <t xml:space="preserve">533, 146</t>
  </si>
  <si>
    <t xml:space="preserve">Narrative says 'garbage juice or a caustic fluid'; chemical vs garbage source cannot be determined.</t>
  </si>
  <si>
    <t xml:space="preserve">An employee was filling up a trailer with garbage juice and came in contact with the garbage juice or a caustic fluid, resulting in burns to the right forearm.</t>
  </si>
  <si>
    <t xml:space="preserve">D037</t>
  </si>
  <si>
    <t xml:space="preserve">20241211275</t>
  </si>
  <si>
    <t xml:space="preserve">2024-12-06</t>
  </si>
  <si>
    <t xml:space="preserve">5763</t>
  </si>
  <si>
    <t xml:space="preserve">Robber</t>
  </si>
  <si>
    <t xml:space="preserve">570</t>
  </si>
  <si>
    <t xml:space="preserve">Person, other than injured or ill worker— unspecified</t>
  </si>
  <si>
    <t xml:space="preserve">576, 579</t>
  </si>
  <si>
    <t xml:space="preserve">Assailant motive is not stated; robber (5763) cannot be confirmed from the narrative.</t>
  </si>
  <si>
    <t xml:space="preserve">An employee was acting in a loss prevention capacity when they were stabbed in the abdomen with a knife by an individual. The employee sustained multiple stab wounds, one of which punctured his lung. Part of the knife broke off in his body, requiring surgery.</t>
  </si>
  <si>
    <t xml:space="preserve">D038</t>
  </si>
  <si>
    <t xml:space="preserve">2024098606</t>
  </si>
  <si>
    <t xml:space="preserve">2024-09-16</t>
  </si>
  <si>
    <t xml:space="preserve">6</t>
  </si>
  <si>
    <t xml:space="preserve">BODY SYSTEMS</t>
  </si>
  <si>
    <t xml:space="preserve">On September 16, 2024, an employee was hooking up a lead to a gas meter in a customer's backyard when the employee was bitten by a copperhead snake. The employee was hospitalized.</t>
  </si>
  <si>
    <t xml:space="preserve">D039</t>
  </si>
  <si>
    <t xml:space="preserve">2024065850</t>
  </si>
  <si>
    <t xml:space="preserve">2024-06-29</t>
  </si>
  <si>
    <t xml:space="preserve">5312</t>
  </si>
  <si>
    <t xml:space="preserve">Exposure to environmental heat — outdoor</t>
  </si>
  <si>
    <t xml:space="preserve">5310</t>
  </si>
  <si>
    <t xml:space="preserve">Exposure to environmental heat— unspecified</t>
  </si>
  <si>
    <t xml:space="preserve">5312, 5311, 70, 78</t>
  </si>
  <si>
    <t xml:space="preserve">Narrative does not state indoor/outdoor setting; recorded 5312 (outdoor) assumes it.</t>
  </si>
  <si>
    <t xml:space="preserve">A vacuum truck operator was loading six pieces of aluminum pipe and three rolls of plastic flex hose onto a trailer when he started feeling overheated. The employee became ill due to heat exhaustion/dehydration.</t>
  </si>
  <si>
    <t xml:space="preserve">D040</t>
  </si>
  <si>
    <t xml:space="preserve">2024054147</t>
  </si>
  <si>
    <t xml:space="preserve">2024-05-10</t>
  </si>
  <si>
    <t xml:space="preserve">710</t>
  </si>
  <si>
    <t xml:space="preserve">Handtools — unspecified</t>
  </si>
  <si>
    <t xml:space="preserve">Whether a hand tool was involved cannot be determined.</t>
  </si>
  <si>
    <t xml:space="preserve">An employee was lifting a toolbox onto a cart when he felt a pull in his left wrist, resulting in a sprain/strain injury.</t>
  </si>
  <si>
    <t xml:space="preserve">D041</t>
  </si>
  <si>
    <t xml:space="preserve">2024109805</t>
  </si>
  <si>
    <t xml:space="preserve">2024-10-21</t>
  </si>
  <si>
    <t xml:space="preserve">4143</t>
  </si>
  <si>
    <t xml:space="preserve">Chips, pellets — metal</t>
  </si>
  <si>
    <t xml:space="preserve">4417</t>
  </si>
  <si>
    <t xml:space="preserve">Staples</t>
  </si>
  <si>
    <t xml:space="preserve">441, 4410</t>
  </si>
  <si>
    <t xml:space="preserve">Narrative says 'a piece of metal'; staple vs metal chip cannot be determined.</t>
  </si>
  <si>
    <t xml:space="preserve">An employee was assembling door jambs using a pneumatic stapler when a piece of metal was propelled into their right eye, resulting in an injury that required surgery. The employee was hospitalized.</t>
  </si>
  <si>
    <t xml:space="preserve">D042</t>
  </si>
  <si>
    <t xml:space="preserve">20241211494</t>
  </si>
  <si>
    <t xml:space="preserve">2024-12-12</t>
  </si>
  <si>
    <t xml:space="preserve">Machinery— unspecified</t>
  </si>
  <si>
    <t xml:space="preserve">An employee was troubleshooting a machine when he slipped and went to brace himself. His hand entered the machine and the blade contacted his finger, resulting in a fingertip amputation.</t>
  </si>
  <si>
    <t xml:space="preserve">D043</t>
  </si>
  <si>
    <t xml:space="preserve">Source/secondary source depend on the event interpretation above.</t>
  </si>
  <si>
    <t xml:space="preserve">D044</t>
  </si>
  <si>
    <t xml:space="preserve">Whether a secondary source exists cannot be determined.</t>
  </si>
  <si>
    <t xml:space="preserve">D045</t>
  </si>
  <si>
    <t xml:space="preserve">20241110663</t>
  </si>
  <si>
    <t xml:space="preserve">2024-11-15</t>
  </si>
  <si>
    <t xml:space="preserve">1110</t>
  </si>
  <si>
    <t xml:space="preserve">Intracranial injuries — unspecified</t>
  </si>
  <si>
    <t xml:space="preserve">110, 1110, 1113, 134</t>
  </si>
  <si>
    <t xml:space="preserve">'Head trauma' alone does not support 1110 intracranial injury.</t>
  </si>
  <si>
    <t xml:space="preserve">An employee was manning a water pump when a vehicle came through the barriers and struck the employee. The employee fell to the ground and sustained a head trauma.</t>
  </si>
  <si>
    <t xml:space="preserve">D046</t>
  </si>
  <si>
    <t xml:space="preserve">Recorded brain (111); narrative says 'head trauma'.</t>
  </si>
  <si>
    <t xml:space="preserve">D047</t>
  </si>
  <si>
    <t xml:space="preserve">2024043440</t>
  </si>
  <si>
    <t xml:space="preserve">2024-04-19</t>
  </si>
  <si>
    <t xml:space="preserve">4131</t>
  </si>
  <si>
    <t xml:space="preserve">Fall to lower level resulting in exposure or contact — less than 6 feet</t>
  </si>
  <si>
    <t xml:space="preserve">4130</t>
  </si>
  <si>
    <t xml:space="preserve">Fall to lower level resulting in exposure or contact— unspecified</t>
  </si>
  <si>
    <t xml:space="preserve">4131, 4132, 533, 414</t>
  </si>
  <si>
    <t xml:space="preserve">Fall height is not stated; &lt;6 ft (4131) cannot be confirmed.</t>
  </si>
  <si>
    <t xml:space="preserve">An employee was taking down a railing on a hot water quench tank when he fell into the tank and contacted the hot water, resulting in burns to both knees.</t>
  </si>
  <si>
    <t xml:space="preserve">D048</t>
  </si>
  <si>
    <t xml:space="preserve">2024021811</t>
  </si>
  <si>
    <t xml:space="preserve">2024-02-28</t>
  </si>
  <si>
    <t xml:space="preserve">835</t>
  </si>
  <si>
    <t xml:space="preserve">Motorboat, motorized yacht</t>
  </si>
  <si>
    <t xml:space="preserve">830</t>
  </si>
  <si>
    <t xml:space="preserve">Water vehicle— unspecified</t>
  </si>
  <si>
    <t xml:space="preserve">835, 837, 839</t>
  </si>
  <si>
    <t xml:space="preserve">Narrative says 'small boat'; motorboat not stated.</t>
  </si>
  <si>
    <t xml:space="preserve">An employee was leaving a work site on a barge due to adverse weather conditions. While on their way back to shore in a small boat, the boat went up a large swell and when it came back down, it went bow first into another swell and was immediately swamped. All the boat passengers fell into the river water, which was approximately 49.8  Fahrenheit. One employee was hospitalized with hypothermia.</t>
  </si>
  <si>
    <t xml:space="preserve">D049</t>
  </si>
  <si>
    <t xml:space="preserve">2024076694</t>
  </si>
  <si>
    <t xml:space="preserve">2024-07-23</t>
  </si>
  <si>
    <t xml:space="preserve">4311</t>
  </si>
  <si>
    <t xml:space="preserve">Fall on same level resulting in exposure or contact</t>
  </si>
  <si>
    <t xml:space="preserve">430</t>
  </si>
  <si>
    <t xml:space="preserve">Slip, trip, stumble or fall on same level— fall unspecified</t>
  </si>
  <si>
    <t xml:space="preserve">4311, 4312, 652, 650</t>
  </si>
  <si>
    <t xml:space="preserve">An employee was cutting an 8-inch water pipe when the demolition saw blade became wedged. The employee was freeing the blade when they fell and sustained a severe laceration to their face.</t>
  </si>
  <si>
    <t xml:space="preserve">D050</t>
  </si>
  <si>
    <t xml:space="preserve">20241110833</t>
  </si>
  <si>
    <t xml:space="preserve">2024-11-20</t>
  </si>
  <si>
    <t xml:space="preserve">3599</t>
  </si>
  <si>
    <t xml:space="preserve">Other metal, wood, and special material machinery — n.e.c.</t>
  </si>
  <si>
    <t xml:space="preserve">Explained: guidance / rule-interpretation difference</t>
  </si>
  <si>
    <t xml:space="preserve">Secondary source for the plasma-cutter track system is defensible as an item contributing to the event; narrative does not exclude it.</t>
  </si>
  <si>
    <t xml:space="preserve">An employee was using a plasma cutter that was set up on a self-propelled track system to bevel the edge of a four-sided plate. The employee's right thigh was impaled by a piece of slag metal and he suffered burns to his right leg.</t>
  </si>
  <si>
    <t xml:space="preserve">D051</t>
  </si>
  <si>
    <t xml:space="preserve">738</t>
  </si>
  <si>
    <t xml:space="preserve">Multiple types of bodily position and motion</t>
  </si>
  <si>
    <t xml:space="preserve">5311, 5312, 70, 78, 739</t>
  </si>
  <si>
    <t xml:space="preserve">Event rule 2.b (order of precedence); rule 2.a (events that initiated or directly produced the injury)</t>
  </si>
  <si>
    <t xml:space="preserve">Heat exposure (531x) versus overexertion/multiple body motion (738): order-of-precedence judgement under Event rule R2.b.</t>
  </si>
  <si>
    <t xml:space="preserve">D052</t>
  </si>
  <si>
    <t xml:space="preserve">9542</t>
  </si>
  <si>
    <t xml:space="preserve">Heat—environmental</t>
  </si>
  <si>
    <t xml:space="preserve">Source follows the event chosen (bodily motion vs heat); consistent with recorded event.</t>
  </si>
  <si>
    <t xml:space="preserve">D053</t>
  </si>
  <si>
    <t xml:space="preserve">Heat environmental</t>
  </si>
  <si>
    <t xml:space="preserve">Heat recorded as secondary source, consistent with recorded event/source pair.</t>
  </si>
  <si>
    <t xml:space="preserve">D054</t>
  </si>
  <si>
    <t xml:space="preserve">2024032664</t>
  </si>
  <si>
    <t xml:space="preserve">2024-03-25</t>
  </si>
  <si>
    <t xml:space="preserve">340</t>
  </si>
  <si>
    <t xml:space="preserve">Pelvic region— unspecified</t>
  </si>
  <si>
    <t xml:space="preserve">3413, 331, 3419</t>
  </si>
  <si>
    <t xml:space="preserve">Hernia is an abdominal-wall condition; contact was at the pelvic area. Both parts defensible (Part R2, external part).</t>
  </si>
  <si>
    <t xml:space="preserve">An employee was washing dishes when he bumped into a dishwasher that contacted him in the pelvic area and ruptured a hernia.</t>
  </si>
  <si>
    <t xml:space="preserve">D055</t>
  </si>
  <si>
    <t xml:space="preserve">549</t>
  </si>
  <si>
    <t xml:space="preserve">Other plants, vegetation</t>
  </si>
  <si>
    <t xml:space="preserve">Tall vegetation described as the setting; recording it as secondary source is defensible.</t>
  </si>
  <si>
    <t xml:space="preserve">D056</t>
  </si>
  <si>
    <t xml:space="preserve">9523</t>
  </si>
  <si>
    <t xml:space="preserve">Rain</t>
  </si>
  <si>
    <t xml:space="preserve">4152</t>
  </si>
  <si>
    <t xml:space="preserve">Water, liquids—nonchemical</t>
  </si>
  <si>
    <t xml:space="preserve">9520</t>
  </si>
  <si>
    <t xml:space="preserve">Rain water vs nonchemical liquid; recorded rain (9523) is defensible for a puddle of rain water.</t>
  </si>
  <si>
    <t xml:space="preserve">D057</t>
  </si>
  <si>
    <t xml:space="preserve">20241211921</t>
  </si>
  <si>
    <t xml:space="preserve">2024-12-28</t>
  </si>
  <si>
    <t xml:space="preserve">1590</t>
  </si>
  <si>
    <t xml:space="preserve">Other or multiple types of burns — degree unspecified</t>
  </si>
  <si>
    <t xml:space="preserve">1510</t>
  </si>
  <si>
    <t xml:space="preserve">Chemical burns, corrosions— degree unspecified</t>
  </si>
  <si>
    <t xml:space="preserve">1511, 1512, 1520</t>
  </si>
  <si>
    <t xml:space="preserve">Hot chemical splash: Nature 1590 explicitly includes chemical and heat burns; 1510 also defensible.</t>
  </si>
  <si>
    <t xml:space="preserve">On December 28, 2024, an employee was adding caustic soda beads to the oven clean-in-place (CIP) cleaning system when he was splashed by hot chemicals. The employee sustained burns to his face and ear from the caustic soda beads.</t>
  </si>
  <si>
    <t xml:space="preserve">D058</t>
  </si>
  <si>
    <t xml:space="preserve">5553</t>
  </si>
  <si>
    <t xml:space="preserve">Exposure through intact tissue</t>
  </si>
  <si>
    <t xml:space="preserve">5559, 555, 5550, 533</t>
  </si>
  <si>
    <t xml:space="preserve">Hot chemical splash: contact with hot substance (533) vs chemical exposure (555x); precedence judgement.</t>
  </si>
  <si>
    <t xml:space="preserve">D059</t>
  </si>
  <si>
    <t xml:space="preserve">440</t>
  </si>
  <si>
    <t xml:space="preserve">Hand(s), finger(s) — unspecified</t>
  </si>
  <si>
    <t xml:space="preserve">441</t>
  </si>
  <si>
    <t xml:space="preserve">Hand(s), except finger(s)</t>
  </si>
  <si>
    <t xml:space="preserve">440, 448</t>
  </si>
  <si>
    <t xml:space="preserve">'Hands' may or may not include fingers; 440 vs 441 depends on fuller report.</t>
  </si>
  <si>
    <t xml:space="preserve">D060</t>
  </si>
  <si>
    <t xml:space="preserve">311</t>
  </si>
  <si>
    <t xml:space="preserve">Intentionally set explosion</t>
  </si>
  <si>
    <t xml:space="preserve">319</t>
  </si>
  <si>
    <t xml:space="preserve">Explosion— n.e.c.</t>
  </si>
  <si>
    <t xml:space="preserve">31, 310, 313, 6422</t>
  </si>
  <si>
    <t xml:space="preserve">Misfired pyrotechnics: 311 (intentionally set) vs 319 depends on whether the blast was intended.</t>
  </si>
  <si>
    <t xml:space="preserve">D061</t>
  </si>
  <si>
    <t xml:space="preserve">Caught-in rollers vs contact with hot roller: order of precedence under Event R2.b (653 listed as an alternate).</t>
  </si>
  <si>
    <t xml:space="preserve">D062</t>
  </si>
  <si>
    <t xml:space="preserve">2024031900</t>
  </si>
  <si>
    <t xml:space="preserve">103</t>
  </si>
  <si>
    <t xml:space="preserve">Nonfatal 'crushing' injuries</t>
  </si>
  <si>
    <t xml:space="preserve">1232, 134, 1824, 100</t>
  </si>
  <si>
    <t xml:space="preserve">Compartment syndrome after crushing; manual guidance for crush/compartment syndrome allows either coding.</t>
  </si>
  <si>
    <t xml:space="preserve">An employee was using a clamp fork truck to load a railcar with rolls of material. The employee exited the lift to put a mat between two of the rolls. The roll held by the fork truck's clamp (60 inches, weighing 3,000-3,500 pounds) dropped from the clamp onto his arm, covering it from hand to bicep. He sustained compartment syndrome, with blood clots, in the arm.</t>
  </si>
  <si>
    <t xml:space="preserve">D063</t>
  </si>
  <si>
    <t xml:space="preserve">420</t>
  </si>
  <si>
    <t xml:space="preserve">Arm(s) — unspecified</t>
  </si>
  <si>
    <t xml:space="preserve">4819</t>
  </si>
  <si>
    <t xml:space="preserve">Hand(s) and arm(s)— n.e.c.</t>
  </si>
  <si>
    <t xml:space="preserve">4811, 428, 420</t>
  </si>
  <si>
    <t xml:space="preserve">Part rules 3-4 (multiple part codes)</t>
  </si>
  <si>
    <t xml:space="preserve">Hand-to-bicep coverage; 420 arm (unspecified) vs multiple hand/arm code.</t>
  </si>
  <si>
    <t xml:space="preserve">D064</t>
  </si>
  <si>
    <t xml:space="preserve">2024087923</t>
  </si>
  <si>
    <t xml:space="preserve">180</t>
  </si>
  <si>
    <t xml:space="preserve">Multiple traumatic injuries and disorders — unspecified</t>
  </si>
  <si>
    <t xml:space="preserve">1811</t>
  </si>
  <si>
    <t xml:space="preserve">Injuries to the brain, spinal cord and severe wounds, internal injuries</t>
  </si>
  <si>
    <t xml:space="preserve">181, 180, 1812, 100</t>
  </si>
  <si>
    <t xml:space="preserve">Multiple injuries (brain, fractures, laceration); 180 vs 1811 turns on severity guidance.</t>
  </si>
  <si>
    <t xml:space="preserve">An employee was cutting trees and brush on a logging site when a tree branch (4" diameter and 10-12 feet long) fell on him. He sustained a head injury, facial trauma, fractures, blood clots and bleeding on the right side of his head. He also sustained a laceration near his temporal area and his right eye was swollen and bruised. The employee was hospitalized and required surgery.</t>
  </si>
  <si>
    <t xml:space="preserve">D065</t>
  </si>
  <si>
    <t xml:space="preserve">5461</t>
  </si>
  <si>
    <t xml:space="preserve">Trees</t>
  </si>
  <si>
    <t xml:space="preserve">5460</t>
  </si>
  <si>
    <t xml:space="preserve">Tree vs branch as secondary source; both appear in the narrative.</t>
  </si>
  <si>
    <t xml:space="preserve">D066</t>
  </si>
  <si>
    <t xml:space="preserve">2024076710</t>
  </si>
  <si>
    <t xml:space="preserve">4741</t>
  </si>
  <si>
    <t xml:space="preserve">Vehicle trailers, trailing units</t>
  </si>
  <si>
    <t xml:space="preserve">991, 990</t>
  </si>
  <si>
    <t xml:space="preserve">Trailer on which the pipe was mounted could be coded as secondary source; narrative does not require it.</t>
  </si>
  <si>
    <t xml:space="preserve">An employee was cutting an iron pipe mounted on a trailer when the pipe rolled over their leg, resulting in a right tibia fracture and compartment syndrome in their lower right leg.</t>
  </si>
  <si>
    <t xml:space="preserve">D067</t>
  </si>
  <si>
    <t xml:space="preserve">20241110374</t>
  </si>
  <si>
    <t xml:space="preserve">2024-11-06</t>
  </si>
  <si>
    <t xml:space="preserve">1121</t>
  </si>
  <si>
    <t xml:space="preserve">Paralysis, paraplegia, quadriplegia</t>
  </si>
  <si>
    <t xml:space="preserve">1129</t>
  </si>
  <si>
    <t xml:space="preserve">Spinal cord injuries, paralysis— n.e.c.</t>
  </si>
  <si>
    <t xml:space="preserve">1120, 1121</t>
  </si>
  <si>
    <t xml:space="preserve">Central cord syndrome is an incomplete cord injury; 1121 vs 1129 depends on how 'paralysis' is read.</t>
  </si>
  <si>
    <t xml:space="preserve">An employee was moving pallets into the freezer when they lost their footing and fell on their back. The employee sustained an injury to his upper back/lower neck area and was diagnosed with central cord syndrome.</t>
  </si>
  <si>
    <t xml:space="preserve">D068</t>
  </si>
  <si>
    <t xml:space="preserve">21</t>
  </si>
  <si>
    <t xml:space="preserve">Exterior and musculoskeletal structures of the neck</t>
  </si>
  <si>
    <t xml:space="preserve">821</t>
  </si>
  <si>
    <t xml:space="preserve">Neck and back</t>
  </si>
  <si>
    <t xml:space="preserve">21, 22, 321, 881</t>
  </si>
  <si>
    <t xml:space="preserve">Upper back/lower neck: 21 neck structures vs neck-and-back combination code.</t>
  </si>
  <si>
    <t xml:space="preserve">D069</t>
  </si>
  <si>
    <t xml:space="preserve">4310</t>
  </si>
  <si>
    <t xml:space="preserve">Fall on same level — unspecified</t>
  </si>
  <si>
    <t xml:space="preserve">4312</t>
  </si>
  <si>
    <t xml:space="preserve">Fall on same level due to slip or trip</t>
  </si>
  <si>
    <t xml:space="preserve">4319, 431, 4310</t>
  </si>
  <si>
    <t xml:space="preserve">'Lost footing and fell': 4310 (unspecified) vs 4312 (slip/trip).</t>
  </si>
  <si>
    <t xml:space="preserve">D070</t>
  </si>
  <si>
    <t xml:space="preserve">4422</t>
  </si>
  <si>
    <t xml:space="preserve">Thumb(s)</t>
  </si>
  <si>
    <t xml:space="preserve">448</t>
  </si>
  <si>
    <t xml:space="preserve">Hand(s) and finger(s)</t>
  </si>
  <si>
    <t xml:space="preserve">4422, 441, 4428</t>
  </si>
  <si>
    <t xml:space="preserve">Thumb amputation plus palm laceration: single thumb code vs multiple hand/finger code (Part R4).</t>
  </si>
  <si>
    <t xml:space="preserve">D071</t>
  </si>
  <si>
    <t xml:space="preserve">2024032529</t>
  </si>
  <si>
    <t xml:space="preserve">2024-03-21</t>
  </si>
  <si>
    <t xml:space="preserve">42</t>
  </si>
  <si>
    <t xml:space="preserve">Slip, trip, stumble while stepping between levels</t>
  </si>
  <si>
    <t xml:space="preserve">4312, 431, 4311</t>
  </si>
  <si>
    <t xml:space="preserve">Manual Event 42 includes 'tripping or falling over curbs'; narrative describes a fall, supporting 4312. Both defensible.</t>
  </si>
  <si>
    <t xml:space="preserve">An employee was hanging a sign on a security post at ground level in a parking lot. They turned and tripped over a curb and fell to the ground, resulting in a fractured left wrist and a laceration to the left side of the forehead.</t>
  </si>
  <si>
    <t xml:space="preserve">D072</t>
  </si>
  <si>
    <t xml:space="preserve">6612</t>
  </si>
  <si>
    <t xml:space="preserve">Curbs</t>
  </si>
  <si>
    <t xml:space="preserve">6623, 662, 6624</t>
  </si>
  <si>
    <t xml:space="preserve">Source/secondary-source order follows the recorded event: surface fallen on vs curb tripped over.</t>
  </si>
  <si>
    <t xml:space="preserve">D073</t>
  </si>
  <si>
    <t xml:space="preserve">991, 663</t>
  </si>
  <si>
    <t xml:space="preserve">As above: curb as secondary source is consistent with the recorded event 4312 guidance.</t>
  </si>
  <si>
    <t xml:space="preserve">D074</t>
  </si>
  <si>
    <t xml:space="preserve">2024087345</t>
  </si>
  <si>
    <t xml:space="preserve">2024-08-10</t>
  </si>
  <si>
    <t xml:space="preserve">1142</t>
  </si>
  <si>
    <t xml:space="preserve">Hitting, kicking, beating by other person while providing medical or custodial care</t>
  </si>
  <si>
    <t xml:space="preserve">1140</t>
  </si>
  <si>
    <t xml:space="preserve">Hitting, kicking, beating by other person— unspecified</t>
  </si>
  <si>
    <t xml:space="preserve">1142, 114, 1149</t>
  </si>
  <si>
    <t xml:space="preserve">1142 (while providing care) vs 1140 depends on whether the worker was providing care to the client.</t>
  </si>
  <si>
    <t xml:space="preserve">An employee was working with a client who punched the employee in the head, causing a brain injury.</t>
  </si>
  <si>
    <t xml:space="preserve">D075</t>
  </si>
  <si>
    <t xml:space="preserve">5732</t>
  </si>
  <si>
    <t xml:space="preserve">Patient</t>
  </si>
  <si>
    <t xml:space="preserve">574</t>
  </si>
  <si>
    <t xml:space="preserve">Client or customer</t>
  </si>
  <si>
    <t xml:space="preserve">573, 5732</t>
  </si>
  <si>
    <t xml:space="preserve">Narrative says 'client'; patient (5732) vs client (574) depends on service setting.</t>
  </si>
  <si>
    <t xml:space="preserve">D076</t>
  </si>
  <si>
    <t xml:space="preserve">5720</t>
  </si>
  <si>
    <t xml:space="preserve">Co-worker or work associate of injured or ill worker — unspecified</t>
  </si>
  <si>
    <t xml:space="preserve">733</t>
  </si>
  <si>
    <t xml:space="preserve">Step ladders</t>
  </si>
  <si>
    <t xml:space="preserve">73, 730</t>
  </si>
  <si>
    <t xml:space="preserve">Source follows the recorded event (assailant); consistent with that choice.</t>
  </si>
  <si>
    <t xml:space="preserve">D077</t>
  </si>
  <si>
    <t xml:space="preserve">5721</t>
  </si>
  <si>
    <t xml:space="preserve">Co-worker, supervisor— current</t>
  </si>
  <si>
    <t xml:space="preserve">Ladder as secondary source follows the recorded event.</t>
  </si>
  <si>
    <t xml:space="preserve">D078</t>
  </si>
  <si>
    <t xml:space="preserve">2024076373</t>
  </si>
  <si>
    <t xml:space="preserve">2024-07-15</t>
  </si>
  <si>
    <t xml:space="preserve">833</t>
  </si>
  <si>
    <t xml:space="preserve">Trunk and other upper extremities</t>
  </si>
  <si>
    <t xml:space="preserve">831</t>
  </si>
  <si>
    <t xml:space="preserve">Back and shoulder</t>
  </si>
  <si>
    <t xml:space="preserve">881</t>
  </si>
  <si>
    <t xml:space="preserve">Combination-code selection for shoulder, back and hard-hat strike; depends on the full injury list.</t>
  </si>
  <si>
    <t xml:space="preserve">A panel was being lifted when an attached roller (approximately 20 pounds) slipped and fell about 2 feet onto the hard hat of an employee working below. The roller also struck the employee's shoulder and back. The employee was hospitalized and suffered a contusion to the shoulder/back.</t>
  </si>
  <si>
    <t xml:space="preserve">D079</t>
  </si>
  <si>
    <t xml:space="preserve">3430</t>
  </si>
  <si>
    <t xml:space="preserve">Elevators, hoists, lifts — unspecified</t>
  </si>
  <si>
    <t xml:space="preserve">4230</t>
  </si>
  <si>
    <t xml:space="preserve">Structural panels and sheets— unspecified</t>
  </si>
  <si>
    <t xml:space="preserve">Lifting equipment vs panel as secondary source; narrative supports both.</t>
  </si>
  <si>
    <t xml:space="preserve">D080</t>
  </si>
  <si>
    <t xml:space="preserve">20241110365</t>
  </si>
  <si>
    <t xml:space="preserve">102</t>
  </si>
  <si>
    <t xml:space="preserve">Soreness, swelling, inflammation</t>
  </si>
  <si>
    <t xml:space="preserve">167</t>
  </si>
  <si>
    <t xml:space="preserve">Allergic and irritant dermatitis— acute</t>
  </si>
  <si>
    <t xml:space="preserve">160, 1510, 102</t>
  </si>
  <si>
    <t xml:space="preserve">Facial swelling after chromium exposure: 102 (swelling, literal) vs 167 (irritant reaction) is a rule-reading choice.</t>
  </si>
  <si>
    <t xml:space="preserve">On November 6, 2024, an employee was dipping parts into a hexavalent chromium bath using a crane. The employee touched their face and began to experience facial swelling, resulting in hospitalization.</t>
  </si>
  <si>
    <t xml:space="preserve">D081</t>
  </si>
  <si>
    <t xml:space="preserve">2024109442</t>
  </si>
  <si>
    <t xml:space="preserve">2024-10-10</t>
  </si>
  <si>
    <t xml:space="preserve">5610</t>
  </si>
  <si>
    <t xml:space="preserve">Bodily conditions of injured, ill worker— unspecified</t>
  </si>
  <si>
    <t xml:space="preserve">991, 5619</t>
  </si>
  <si>
    <t xml:space="preserve">Bodily condition (asthma) as secondary source is optional under guidance.</t>
  </si>
  <si>
    <t xml:space="preserve">On October 10, 2024, an employee was deep cleaning operating rooms and were exposed to disinfection cleaner, resulting in an acute environmental asthma exacerbation. The employee was hospitalized.</t>
  </si>
  <si>
    <t xml:space="preserve">D082</t>
  </si>
  <si>
    <t xml:space="preserve">1591</t>
  </si>
  <si>
    <t xml:space="preserve">Other or multiple types of burns — first degree</t>
  </si>
  <si>
    <t xml:space="preserve">133</t>
  </si>
  <si>
    <t xml:space="preserve">Abrasions</t>
  </si>
  <si>
    <t xml:space="preserve">1520, 1590, 159</t>
  </si>
  <si>
    <t xml:space="preserve">Manual lists friction burns under both 133 and 1591; both defensible.</t>
  </si>
  <si>
    <t xml:space="preserve">D083</t>
  </si>
  <si>
    <t xml:space="preserve">2024021430</t>
  </si>
  <si>
    <t xml:space="preserve">2024-02-14</t>
  </si>
  <si>
    <t xml:space="preserve">1112</t>
  </si>
  <si>
    <t xml:space="preserve">Cerebral and other intracranial hemorrhages without skull fracture</t>
  </si>
  <si>
    <t xml:space="preserve">181, 180, 1111, 1112</t>
  </si>
  <si>
    <t xml:space="preserve">Brain bleed, concussion and fractures: multiple natures; 1112 vs 1811 is a precedence/severity choice.</t>
  </si>
  <si>
    <t xml:space="preserve">An employee was cutting a service line from a transformer pole to a residence's pole. He was working from a ladder secured to the pole. When the wire was cut, the release of tension caused the pole to split at ground level. The employee was strapped to the pole and fell approximately 20-25 feet to the ground. The employee suffered a brain bleed, concussion, and fractures to an orbital bone and wrist.</t>
  </si>
  <si>
    <t xml:space="preserve">D084</t>
  </si>
  <si>
    <t xml:space="preserve">813</t>
  </si>
  <si>
    <t xml:space="preserve">Head and extremities</t>
  </si>
  <si>
    <t xml:space="preserve">81, 882</t>
  </si>
  <si>
    <t xml:space="preserve">Head and wrist injuries: single brain code vs multi-part code (Part R4).</t>
  </si>
  <si>
    <t xml:space="preserve">D085</t>
  </si>
  <si>
    <t xml:space="preserve">663, 731</t>
  </si>
  <si>
    <t xml:space="preserve">Ground as secondary source for the 20-25 ft fall is defensible.</t>
  </si>
  <si>
    <t xml:space="preserve">D086</t>
  </si>
  <si>
    <t xml:space="preserve">2024010861</t>
  </si>
  <si>
    <t xml:space="preserve">2024-01-28</t>
  </si>
  <si>
    <t xml:space="preserve">3634</t>
  </si>
  <si>
    <t xml:space="preserve">Banding, baling, strapping machinery</t>
  </si>
  <si>
    <t xml:space="preserve">3341</t>
  </si>
  <si>
    <t xml:space="preserve">Trash compactors, shredders</t>
  </si>
  <si>
    <t xml:space="preserve">334, 3340</t>
  </si>
  <si>
    <t xml:space="preserve">Baler vs compactor: narrative says 'bailer' without context; both coded machines are defensible.</t>
  </si>
  <si>
    <t xml:space="preserve">An employee was working at a bailer. She bent down to pick something up. As she straightened, her head struck the bailer door. She suffered a pinched nerve and a bulging disk in the lower back and was hospitalized.</t>
  </si>
  <si>
    <t xml:space="preserve">D087</t>
  </si>
  <si>
    <t xml:space="preserve">20241110902</t>
  </si>
  <si>
    <t xml:space="preserve">2024-11-22</t>
  </si>
  <si>
    <t xml:space="preserve">Exterior and musculoskeletal structures of the back — unspecified</t>
  </si>
  <si>
    <t xml:space="preserve">812</t>
  </si>
  <si>
    <t xml:space="preserve">Head and trunk</t>
  </si>
  <si>
    <t xml:space="preserve">Scratches to face and compressed discs: single back code vs multi-part code.</t>
  </si>
  <si>
    <t xml:space="preserve">An employee was on a ladder while using a pipe wrench to unscrew a water line. He lost his grip and fell approximately 4 feet from the ladder to the ground, resulting in scratches to the face and compressed discs that required surgery.</t>
  </si>
  <si>
    <t xml:space="preserve">D088</t>
  </si>
  <si>
    <t xml:space="preserve">7144</t>
  </si>
  <si>
    <t xml:space="preserve">Wrenches, ratchets</t>
  </si>
  <si>
    <t xml:space="preserve">6624, 991</t>
  </si>
  <si>
    <t xml:space="preserve">Ground vs wrench as secondary source for a ladder fall; both appear.</t>
  </si>
  <si>
    <t xml:space="preserve">D089</t>
  </si>
  <si>
    <t xml:space="preserve">2024032008</t>
  </si>
  <si>
    <t xml:space="preserve">2024-03-05</t>
  </si>
  <si>
    <t xml:space="preserve">652</t>
  </si>
  <si>
    <t xml:space="preserve">Struck by running powered equipment— during maintenance, cleaning, testing</t>
  </si>
  <si>
    <t xml:space="preserve">650, 653, 659</t>
  </si>
  <si>
    <t xml:space="preserve">Piston pressing hand during clearing of a jam: 652 (maintenance/cleaning) vs 653 caught; precedence judgement.</t>
  </si>
  <si>
    <t xml:space="preserve">An employee was removing products that got stuck in a milk carton production machine when a piston from the machine pressed into the back of his right hand, lacerating it.</t>
  </si>
  <si>
    <t xml:space="preserve">D090</t>
  </si>
  <si>
    <t xml:space="preserve">Other fall to lower level — 6 to 30 feet</t>
  </si>
  <si>
    <t xml:space="preserve">4122</t>
  </si>
  <si>
    <t xml:space="preserve">Fall to lower level resulting from exposure or contact— 6 to 30 feet</t>
  </si>
  <si>
    <t xml:space="preserve">4142, 6652</t>
  </si>
  <si>
    <t xml:space="preserve">Fall of 7.5 ft with contact: 4142 vs 4122 depends on whether contact with an object contributed.</t>
  </si>
  <si>
    <t xml:space="preserve">D091</t>
  </si>
  <si>
    <t xml:space="preserve">4429</t>
  </si>
  <si>
    <t xml:space="preserve">Other finger(s)— n.e.c.</t>
  </si>
  <si>
    <t xml:space="preserve">440, 448, 441, 4428</t>
  </si>
  <si>
    <t xml:space="preserve">Three broken fingers: 448 hand and fingers vs specific finger code.</t>
  </si>
  <si>
    <t xml:space="preserve">D092</t>
  </si>
  <si>
    <t xml:space="preserve">3123</t>
  </si>
  <si>
    <t xml:space="preserve">Lung(s), pleura</t>
  </si>
  <si>
    <t xml:space="preserve">38</t>
  </si>
  <si>
    <t xml:space="preserve">Multiple trunk locations</t>
  </si>
  <si>
    <t xml:space="preserve">310, 330, 318</t>
  </si>
  <si>
    <t xml:space="preserve">Stab wounds to abdomen and lung: single lung code vs multi-location trunk code.</t>
  </si>
  <si>
    <t xml:space="preserve">D093</t>
  </si>
  <si>
    <t xml:space="preserve">160</t>
  </si>
  <si>
    <t xml:space="preserve">Effects of poison, toxic, or allergenic exposure — unspecified</t>
  </si>
  <si>
    <t xml:space="preserve">160, 169</t>
  </si>
  <si>
    <t xml:space="preserve">Snake bite is a poison/toxic effect; 160 vs allergic-reaction code is a rule-reading choice.</t>
  </si>
  <si>
    <t xml:space="preserve">D094</t>
  </si>
  <si>
    <t xml:space="preserve">20241211490</t>
  </si>
  <si>
    <t xml:space="preserve">Sprains, strains, tears — unspecified</t>
  </si>
  <si>
    <t xml:space="preserve">1441</t>
  </si>
  <si>
    <t xml:space="preserve">Major tears to muscles, tendons, ligaments</t>
  </si>
  <si>
    <t xml:space="preserve">132, 1440</t>
  </si>
  <si>
    <t xml:space="preserve">Cut ligaments: laceration vs tear/strain code is a rule-reading choice.</t>
  </si>
  <si>
    <t xml:space="preserve">An employee opened a fillet machine to remove a fish that had gotten stuck when their left hand made contact with the blade, resulting in cut ligaments between the thumb and index finger.</t>
  </si>
  <si>
    <t xml:space="preserve">D095</t>
  </si>
  <si>
    <t xml:space="preserve">4428</t>
  </si>
  <si>
    <t xml:space="preserve">Thumb(s) and finger(s)</t>
  </si>
  <si>
    <t xml:space="preserve">4428, 442, 448</t>
  </si>
  <si>
    <t xml:space="preserve">Web between thumb and index finger spans hand and finger codes.</t>
  </si>
  <si>
    <t xml:space="preserve">D096</t>
  </si>
  <si>
    <t xml:space="preserve">2024076739</t>
  </si>
  <si>
    <t xml:space="preserve">2024-07-24</t>
  </si>
  <si>
    <t xml:space="preserve">5769</t>
  </si>
  <si>
    <t xml:space="preserve">Criminal assailant — except robber</t>
  </si>
  <si>
    <t xml:space="preserve">579</t>
  </si>
  <si>
    <t xml:space="preserve">Person, other than injured or ill worker— n.e.c.</t>
  </si>
  <si>
    <t xml:space="preserve">570, 574, 575</t>
  </si>
  <si>
    <t xml:space="preserve">Shooting by a client's son: criminal assailant (5769) is a reasonable reading; motive not stated.</t>
  </si>
  <si>
    <t xml:space="preserve">An employee was performing tree care services at a client's property when he was shot in the abdomen by the client's adult son.</t>
  </si>
  <si>
    <t xml:space="preserve">D097</t>
  </si>
  <si>
    <t xml:space="preserve">2244</t>
  </si>
  <si>
    <t xml:space="preserve">Fall, contact incident onboard water vehicle</t>
  </si>
  <si>
    <t xml:space="preserve">4140</t>
  </si>
  <si>
    <t xml:space="preserve">Other fall to lower level— unspecified</t>
  </si>
  <si>
    <t xml:space="preserve">4141, 4142, 4312</t>
  </si>
  <si>
    <t xml:space="preserve">Fall onboard a vessel: Event 224/2244 vs generic fall to lower level; both defensible.</t>
  </si>
  <si>
    <t xml:space="preserve">D098</t>
  </si>
  <si>
    <t xml:space="preserve">2024064978</t>
  </si>
  <si>
    <t xml:space="preserve">2024-06-06</t>
  </si>
  <si>
    <t xml:space="preserve">7170</t>
  </si>
  <si>
    <t xml:space="preserve">Cleaning handtools— unspecified</t>
  </si>
  <si>
    <t xml:space="preserve">7179, 991</t>
  </si>
  <si>
    <t xml:space="preserve">Scraper as secondary source is optional.</t>
  </si>
  <si>
    <t xml:space="preserve">While cleaning a conveyor belt with a scraper, an employee came in contact with the moving conveyor belt and his left arm became trapped in the tripper unit. He suffered fractures and severe friction burns to both wrists, and severe friction burns to the upper left thigh.</t>
  </si>
  <si>
    <t xml:space="preserve">D099</t>
  </si>
  <si>
    <t xml:space="preserve">2024054100</t>
  </si>
  <si>
    <t xml:space="preserve">2024-05-09</t>
  </si>
  <si>
    <t xml:space="preserve">6431</t>
  </si>
  <si>
    <t xml:space="preserve">Struck by object dropped by person</t>
  </si>
  <si>
    <t xml:space="preserve">6430, 664</t>
  </si>
  <si>
    <t xml:space="preserve">Tripped, then block fell on hands: fall (4311) vs struck by dropped object (6431); precedence judgement.</t>
  </si>
  <si>
    <t xml:space="preserve">An employee was putting concrete rip rap in a wheelbarrow when they tripped and the 12-inch x 14-inch concrete rip rap fell on their hands, crushing their fingers. The employee was hospitalized.</t>
  </si>
  <si>
    <t xml:space="preserve">D100</t>
  </si>
  <si>
    <t xml:space="preserve">4212</t>
  </si>
  <si>
    <t xml:space="preserve">Structural blocks— stone and masonry</t>
  </si>
  <si>
    <t xml:space="preserve">4210, 4113, 4172, 4219</t>
  </si>
  <si>
    <t xml:space="preserve">Follows recorded event 4311 (surface fallen on).</t>
  </si>
  <si>
    <t xml:space="preserve">D101</t>
  </si>
  <si>
    <t xml:space="preserve">4202</t>
  </si>
  <si>
    <t xml:space="preserve">Masonry building materials — unspecified form</t>
  </si>
  <si>
    <t xml:space="preserve">Follows recorded event 4311 (object contacted as result of fall).</t>
  </si>
  <si>
    <t xml:space="preserve">D102</t>
  </si>
  <si>
    <t xml:space="preserve">Boxes, crates, cartons</t>
  </si>
  <si>
    <t xml:space="preserve">2211</t>
  </si>
  <si>
    <t xml:space="preserve">Cabinets, cases, dressers</t>
  </si>
  <si>
    <t xml:space="preserve">2112, 221, 2219</t>
  </si>
  <si>
    <t xml:space="preserve">Toolbox: boxes/crates vs cabinets/cases; both defensible.</t>
  </si>
  <si>
    <t xml:space="preserve">D103</t>
  </si>
  <si>
    <t xml:space="preserve">20241110424</t>
  </si>
  <si>
    <t xml:space="preserve">2024-11-08</t>
  </si>
  <si>
    <t xml:space="preserve">Struck by running powered equipment — n.e.c.</t>
  </si>
  <si>
    <t xml:space="preserve">6422</t>
  </si>
  <si>
    <t xml:space="preserve">Struck by dislodged or detached object(s)</t>
  </si>
  <si>
    <t xml:space="preserve">313, 6429, 651</t>
  </si>
  <si>
    <t xml:space="preserve">Cap blew off and struck the saw into the face; 659 vs 6422 depends on treating the saw or the cap as the striking object.</t>
  </si>
  <si>
    <t xml:space="preserve">On 11/08/2024, an employee was working on piping a refrigeration condenser. Refrigeration condensers arrive from the factory with the internal piping pressurized and the end capped. The employee was cutting a capped refrigeration line when the cap blew off, striking the battery-operated saw he was using and knocking the saw it into his face. He was cut under the nose and struck on the head. The angle of the impact pushed metal fragments under his safety glasses and into his eyes. The employee sustained metal fragments in his eyes, lacerations to the face, and contusions to the head.</t>
  </si>
  <si>
    <t xml:space="preserve">D104</t>
  </si>
  <si>
    <t xml:space="preserve">7122</t>
  </si>
  <si>
    <t xml:space="preserve">Saws — except chainsaws</t>
  </si>
  <si>
    <t xml:space="preserve">4416</t>
  </si>
  <si>
    <t xml:space="preserve">Pipe fittings, collars</t>
  </si>
  <si>
    <t xml:space="preserve">4911, 4919</t>
  </si>
  <si>
    <t xml:space="preserve">Saw vs fitting as source: depends on the same event interpretation.</t>
  </si>
  <si>
    <t xml:space="preserve">D105</t>
  </si>
  <si>
    <t xml:space="preserve">9225</t>
  </si>
  <si>
    <t xml:space="preserve">Eye and face protection</t>
  </si>
  <si>
    <t xml:space="preserve">3319</t>
  </si>
  <si>
    <t xml:space="preserve">Cooling and humidifying machinery, appliances— n.e.c.</t>
  </si>
  <si>
    <t xml:space="preserve">3310, 3314</t>
  </si>
  <si>
    <t xml:space="preserve">Safety glasses are mentioned; recorded 9225 is defensible.</t>
  </si>
  <si>
    <t xml:space="preserve">D106</t>
  </si>
  <si>
    <t xml:space="preserve">6421</t>
  </si>
  <si>
    <t xml:space="preserve">Struck by discharged object or substance</t>
  </si>
  <si>
    <t xml:space="preserve">6422, 642, 6429</t>
  </si>
  <si>
    <t xml:space="preserve">Metal propelled by a pneumatic stapler: discharged vs dislodged object.</t>
  </si>
  <si>
    <t xml:space="preserve">D107</t>
  </si>
  <si>
    <t xml:space="preserve">20241211745</t>
  </si>
  <si>
    <t xml:space="preserve">2024-12-19</t>
  </si>
  <si>
    <t xml:space="preserve">18</t>
  </si>
  <si>
    <t xml:space="preserve">Multiple regions of the head</t>
  </si>
  <si>
    <t xml:space="preserve">80</t>
  </si>
  <si>
    <t xml:space="preserve">Multiple body parts— unspecified</t>
  </si>
  <si>
    <t xml:space="preserve">813, 812, 882, 899</t>
  </si>
  <si>
    <t xml:space="preserve">Head injuries plus hand/hip/back injuries: head-only code vs multi-part code.</t>
  </si>
  <si>
    <t xml:space="preserve">An employee was working as a risk safety consultant on a construction jobsite when they were physically assaulted by a carpenter. The employee was hospitalized with a frontal brain bleed, an orbital fracture under his left eye, a laceration to the back of the head that required three staples, and injuries to their right hand, hip, and back.</t>
  </si>
  <si>
    <t xml:space="preserve">D108</t>
  </si>
  <si>
    <t xml:space="preserve">1149</t>
  </si>
  <si>
    <t xml:space="preserve">Hitting, kicking, beating by other person — n.e.c.</t>
  </si>
  <si>
    <t xml:space="preserve">110, 114, 1149, 118</t>
  </si>
  <si>
    <t xml:space="preserve">Assault: 1149 (n.e.c.) vs 1140; manual order for hitting/kicking vs beating.</t>
  </si>
  <si>
    <t xml:space="preserve">D109</t>
  </si>
  <si>
    <t xml:space="preserve">Optional secondary source.</t>
  </si>
  <si>
    <t xml:space="preserve">D110</t>
  </si>
  <si>
    <t xml:space="preserve">2024075908</t>
  </si>
  <si>
    <t xml:space="preserve">2024-07-02</t>
  </si>
  <si>
    <t xml:space="preserve">118</t>
  </si>
  <si>
    <t xml:space="preserve">Multiple cranial structures</t>
  </si>
  <si>
    <t xml:space="preserve">111, 113, 11, 110</t>
  </si>
  <si>
    <t xml:space="preserve">Skull fracture, hematoma and subarachnoid hemorrhage: brain vs multiple cranial structures.</t>
  </si>
  <si>
    <t xml:space="preserve">An employee was helping a client into their home from the van which was parked on a steep slope driveway. They were found in the client's driveway unconscious. The client was strapped into their wheelchair which was found on top of the employee. The employee sustained a fracture behind her ear, a hematoma on the right side of her scalp, and a subarachnoid hemorrhage. She was hospitalized.</t>
  </si>
  <si>
    <t xml:space="preserve">D111</t>
  </si>
  <si>
    <t xml:space="preserve">2024087253</t>
  </si>
  <si>
    <t xml:space="preserve">2024-08-08</t>
  </si>
  <si>
    <t xml:space="preserve">2532</t>
  </si>
  <si>
    <t xml:space="preserve">Pedestrian struck by forward-moving vehicle in nonroadway area</t>
  </si>
  <si>
    <t xml:space="preserve">654</t>
  </si>
  <si>
    <t xml:space="preserve">Compressed between running equipment and other object(s)</t>
  </si>
  <si>
    <t xml:space="preserve">2530, 2532, 664</t>
  </si>
  <si>
    <t xml:space="preserve">Caught between trailer and forklift: 2532 (pedestrian struck by vehicle) vs 654 (compressed between equipment); precedence.</t>
  </si>
  <si>
    <t xml:space="preserve">An employee had loaded railroad ties into a customer's trailer. The employee was bending down to retrieve a strap between the railroad ties (that were on the forklift) and the tilt-up rail of the trailer. The customer pulled forward and the employee became caught between the customer's trailer and the forklift. The employee was hospitalized with four broken ribs on their right side and two dislocated ribs on their left side.</t>
  </si>
  <si>
    <t xml:space="preserve">D112</t>
  </si>
  <si>
    <t xml:space="preserve">840</t>
  </si>
  <si>
    <t xml:space="preserve">Roadway vehicle — motorized, unspecified</t>
  </si>
  <si>
    <t xml:space="preserve">843, 8430, 8621</t>
  </si>
  <si>
    <t xml:space="preserve">Source follows the recorded event.</t>
  </si>
  <si>
    <t xml:space="preserve">D113</t>
  </si>
  <si>
    <t xml:space="preserve">8621</t>
  </si>
  <si>
    <t xml:space="preserve">Forklift, order picker, platform truck—powered</t>
  </si>
  <si>
    <t xml:space="preserve">D114</t>
  </si>
  <si>
    <t xml:space="preserve">Slipped and braced hand into machine: fall (4311) vs machine contact (652); precedence under R2.b.</t>
  </si>
  <si>
    <t xml:space="preserve">D115</t>
  </si>
  <si>
    <t xml:space="preserve">2024098518</t>
  </si>
  <si>
    <t xml:space="preserve">2024-09-13</t>
  </si>
  <si>
    <t xml:space="preserve">3619</t>
  </si>
  <si>
    <t xml:space="preserve">Food and beverage processing machinery — n.e.c.</t>
  </si>
  <si>
    <t xml:space="preserve">3610</t>
  </si>
  <si>
    <t xml:space="preserve">Food and beverage processing machinery— unspecified</t>
  </si>
  <si>
    <t xml:space="preserve">345, 361, 3619</t>
  </si>
  <si>
    <t xml:space="preserve">3619 (n.e.c.) vs 3610 (unspecified) for a batter machine.</t>
  </si>
  <si>
    <t xml:space="preserve">An employee was sanitizing the batter machine when the rotating shaft inside the pump fractured their left index and middle fingers.</t>
  </si>
  <si>
    <t xml:space="preserve">D116</t>
  </si>
  <si>
    <t xml:space="preserve">345</t>
  </si>
  <si>
    <t xml:space="preserve">Pumps— except oil well</t>
  </si>
  <si>
    <t xml:space="preserve">Pump shaft is part of the machine; secondary source optional.</t>
  </si>
  <si>
    <t xml:space="preserve">D117</t>
  </si>
  <si>
    <t xml:space="preserve">2024098793</t>
  </si>
  <si>
    <t xml:space="preserve">2024-09-20</t>
  </si>
  <si>
    <t xml:space="preserve">4611</t>
  </si>
  <si>
    <t xml:space="preserve">Electrical wiring building or machine</t>
  </si>
  <si>
    <t xml:space="preserve">2249</t>
  </si>
  <si>
    <t xml:space="preserve">Lighting equipment— n.e.c.</t>
  </si>
  <si>
    <t xml:space="preserve">2240, 2241, 4619</t>
  </si>
  <si>
    <t xml:space="preserve">Wiring vs ballast lighting equipment as secondary source.</t>
  </si>
  <si>
    <t xml:space="preserve">An employee was on a 6-foot ladder conducting maintenance on a ballast above the ceiling in a hallway. When the employee removed the ballast he was shocked with 208V of electricity and fell off the ladder, landing on his left shoulder. The employee suffered an electric shock and a dislocated shoulder.</t>
  </si>
  <si>
    <t xml:space="preserve">D118</t>
  </si>
  <si>
    <t xml:space="preserve">2024021711</t>
  </si>
  <si>
    <t xml:space="preserve">2024-02-24</t>
  </si>
  <si>
    <t xml:space="preserve">Co-worker or work associate of injured or ill worker— unspecified</t>
  </si>
  <si>
    <t xml:space="preserve">5721, 5729, 991</t>
  </si>
  <si>
    <t xml:space="preserve">Guard as co-worker secondary source is optional.</t>
  </si>
  <si>
    <t xml:space="preserve">An employee was trying to calm a patient. The patient became aggressive toward her, a security guard intervened, and during the altercation both the patient and the guard fell on the employee. The injured employee suffered a broken tibia.</t>
  </si>
  <si>
    <t xml:space="preserve">D119</t>
  </si>
  <si>
    <t xml:space="preserve">2024043231</t>
  </si>
  <si>
    <t xml:space="preserve">2024-04-13</t>
  </si>
  <si>
    <t xml:space="preserve">489</t>
  </si>
  <si>
    <t xml:space="preserve">Multiple upper extremities locations — n.e.c.</t>
  </si>
  <si>
    <t xml:space="preserve">428</t>
  </si>
  <si>
    <t xml:space="preserve">Multiple arm locations</t>
  </si>
  <si>
    <t xml:space="preserve">420, 423, 422</t>
  </si>
  <si>
    <t xml:space="preserve">Forearm, elbow and upper arm: multiple arm (428) vs multiple upper-extremity n.e.c. (489).</t>
  </si>
  <si>
    <t xml:space="preserve">An employee was using a hose to rinse the rollers of a glue machine that had laminated wood boards. The hose got caught in the rollers before pulling the employee's right arm into the rollers, resulting in hospitalization due to a contusion to the forearm and elbow, an elbow sprain, muscle strain, fascia and tendon damage in the forearm, pain in the forearm and elbow, and a contusion and pain in the right upper arm.</t>
  </si>
  <si>
    <t xml:space="preserve">D120</t>
  </si>
  <si>
    <t xml:space="preserve">3549</t>
  </si>
  <si>
    <t xml:space="preserve">Industrial surfacing and finishing machinery — n.e.c.</t>
  </si>
  <si>
    <t xml:space="preserve">3590</t>
  </si>
  <si>
    <t xml:space="preserve">Other metal, wood, and special material machinery— unspecified</t>
  </si>
  <si>
    <t xml:space="preserve">323, 3599</t>
  </si>
  <si>
    <t xml:space="preserve">Glue/laminating machine: specific machine code vs unspecified.</t>
  </si>
  <si>
    <t xml:space="preserve">D121</t>
  </si>
  <si>
    <t xml:space="preserve">2024065321</t>
  </si>
  <si>
    <t xml:space="preserve">2024-06-16</t>
  </si>
  <si>
    <t xml:space="preserve">5532</t>
  </si>
  <si>
    <t xml:space="preserve">Inhalation of harmful substance — repeated or prolonged</t>
  </si>
  <si>
    <t xml:space="preserve">5530</t>
  </si>
  <si>
    <t xml:space="preserve">Inhalation of harmful substance— unspecified</t>
  </si>
  <si>
    <t xml:space="preserve">5531, 5532, 553</t>
  </si>
  <si>
    <t xml:space="preserve">Prolonged vs unspecified inhalation exposure.</t>
  </si>
  <si>
    <t xml:space="preserve">An employee was working at his desk inside the manufacturing plant near a manual lathe machine that makes spare parts from metal. The machine has coolant that tested positive for Legionella that caused the employee to develop severe respiratory symptoms requiring hospitalization.</t>
  </si>
  <si>
    <t xml:space="preserve">D122</t>
  </si>
  <si>
    <t xml:space="preserve">1311</t>
  </si>
  <si>
    <t xml:space="preserve">Antifreeze</t>
  </si>
  <si>
    <t xml:space="preserve">3534</t>
  </si>
  <si>
    <t xml:space="preserve">Lathes</t>
  </si>
  <si>
    <t xml:space="preserve">353, 991</t>
  </si>
  <si>
    <t xml:space="preserve">Coolant (recorded) vs lathe; narrative supports both.</t>
  </si>
  <si>
    <t xml:space="preserve">D123</t>
  </si>
  <si>
    <t xml:space="preserve">2024109481</t>
  </si>
  <si>
    <t xml:space="preserve">2024-10-11</t>
  </si>
  <si>
    <t xml:space="preserve">325, 327, 326, 314, 324</t>
  </si>
  <si>
    <t xml:space="preserve">Generator fire during refueling: machinery fire (324) vs fire unspecified.</t>
  </si>
  <si>
    <t xml:space="preserve">On October 11, 2024, at 12:24 p.m., an employee was refueling a gasoline generator on a work truck when it ignited. The employee suffered burns to their arms, hands, neck, and face and were hospitalized.</t>
  </si>
  <si>
    <t xml:space="preserve">D124</t>
  </si>
  <si>
    <t xml:space="preserve">2024065379</t>
  </si>
  <si>
    <t xml:space="preserve">2024-06-18</t>
  </si>
  <si>
    <t xml:space="preserve">9351</t>
  </si>
  <si>
    <t xml:space="preserve">"Lock out/ tag out" communication systems</t>
  </si>
  <si>
    <t xml:space="preserve">932, 933</t>
  </si>
  <si>
    <t xml:space="preserve">Lock-out/tag-out is mentioned; recorded as secondary source.</t>
  </si>
  <si>
    <t xml:space="preserve">An employee was cleaning the L-30 transfer conveyor belts with a rag and cleaning solution. The employee's arm tripped a sensor, causing the belts to close on their arm. The employee suffered nerve damage in their shoulder and arm and were hospitalized. The machine was not de-energized and lock out/tag out was performed.</t>
  </si>
  <si>
    <t xml:space="preserve">D125</t>
  </si>
  <si>
    <t xml:space="preserve">Multiple traumatic injuries and disorders— unspecified</t>
  </si>
  <si>
    <t xml:space="preserve">100, 136, 2261, 181</t>
  </si>
  <si>
    <t xml:space="preserve">Head and hearing injuries: single intracranial code vs multiple traumatic injuries.</t>
  </si>
  <si>
    <t xml:space="preserve">D126</t>
  </si>
  <si>
    <t xml:space="preserve">10, 12, 121, 128</t>
  </si>
  <si>
    <t xml:space="preserve">Part follows nature choice.</t>
  </si>
  <si>
    <t xml:space="preserve">D127</t>
  </si>
  <si>
    <t xml:space="preserve">Trucks— unspecified</t>
  </si>
  <si>
    <t xml:space="preserve">991, 4720</t>
  </si>
  <si>
    <t xml:space="preserve">Truck as secondary source optional.</t>
  </si>
  <si>
    <t xml:space="preserve">D128</t>
  </si>
  <si>
    <t xml:space="preserve">2024109729</t>
  </si>
  <si>
    <t xml:space="preserve">2024-10-18</t>
  </si>
  <si>
    <t xml:space="preserve">4231</t>
  </si>
  <si>
    <t xml:space="preserve">Sheets, panels — wood, plywood, MDF</t>
  </si>
  <si>
    <t xml:space="preserve">2110, 423</t>
  </si>
  <si>
    <t xml:space="preserve">Panel from a crate: panel vs crate as source.</t>
  </si>
  <si>
    <t xml:space="preserve">An employee was removing wooden crate panels. A panel from a different crate located behind the employee broke loose from its screws and struck the employee on the left hip area. The employee was hospitalized for a dislocated hip.</t>
  </si>
  <si>
    <t xml:space="preserve">D129</t>
  </si>
  <si>
    <t xml:space="preserve">Swap of source/secondary source for the same two items.</t>
  </si>
  <si>
    <t xml:space="preserve">D130</t>
  </si>
  <si>
    <t xml:space="preserve">3122</t>
  </si>
  <si>
    <t xml:space="preserve">Lawn mower — riding</t>
  </si>
  <si>
    <t xml:space="preserve">Lawn mower— walk behind</t>
  </si>
  <si>
    <t xml:space="preserve">312</t>
  </si>
  <si>
    <t xml:space="preserve">Narrative says walk-behind mower with standing attachment; walk-behind vs riding is ambiguous.</t>
  </si>
  <si>
    <t xml:space="preserve">D131</t>
  </si>
  <si>
    <t xml:space="preserve">2024043490</t>
  </si>
  <si>
    <t xml:space="preserve">2024-04-22</t>
  </si>
  <si>
    <t xml:space="preserve">'Hands' with or without fingers.</t>
  </si>
  <si>
    <t xml:space="preserve">An employee plugged in panel strings from the big lead assembly (BLA) and received a shock, resulting in burns to their hands.</t>
  </si>
  <si>
    <t xml:space="preserve">D132</t>
  </si>
  <si>
    <t xml:space="preserve">4615</t>
  </si>
  <si>
    <t xml:space="preserve">Switchboards, panels, fuses</t>
  </si>
  <si>
    <t xml:space="preserve">4614</t>
  </si>
  <si>
    <t xml:space="preserve">Solar panels</t>
  </si>
  <si>
    <t xml:space="preserve">4610, 4619, 4615</t>
  </si>
  <si>
    <t xml:space="preserve">Panel strings from a battery assembly: switchboard vs solar panel; narrative ambiguous.</t>
  </si>
  <si>
    <t xml:space="preserve">D133</t>
  </si>
  <si>
    <t xml:space="preserve">2024010138</t>
  </si>
  <si>
    <t xml:space="preserve">2024-01-06</t>
  </si>
  <si>
    <t xml:space="preserve">664</t>
  </si>
  <si>
    <t xml:space="preserve">Caught or wedged between objects — nonrunning</t>
  </si>
  <si>
    <t xml:space="preserve">663</t>
  </si>
  <si>
    <t xml:space="preserve">Struck by rolling, sliding, or shifting objects—non-running</t>
  </si>
  <si>
    <t xml:space="preserve">664, 654, 652</t>
  </si>
  <si>
    <t xml:space="preserve">Pinned against machine by shifting pallets: caught/wedged (664) vs struck by sliding objects (663).</t>
  </si>
  <si>
    <t xml:space="preserve">An employee was removing a pallet that had become stuck on a pallet tipper machine. When the stuck pallet was dislodged, other pallets moved and pinned the employee against part of the machine. The employee suffered broken ribs and a laceration to the liver.</t>
  </si>
  <si>
    <t xml:space="preserve">D134</t>
  </si>
  <si>
    <t xml:space="preserve">20241110646</t>
  </si>
  <si>
    <t xml:space="preserve">653, 659</t>
  </si>
  <si>
    <t xml:space="preserve">Conveyor contacting hand: 653 vs 650.</t>
  </si>
  <si>
    <t xml:space="preserve">An employee was performing quality control checks on a conveyor. They grabbed a tray on the conveyor and the conveyor contacted their hand, resulting in an abrasion.</t>
  </si>
  <si>
    <t xml:space="preserve">D135</t>
  </si>
  <si>
    <t xml:space="preserve">20241211081</t>
  </si>
  <si>
    <t xml:space="preserve">2024-12-02</t>
  </si>
  <si>
    <t xml:space="preserve">80, 84, 88</t>
  </si>
  <si>
    <t xml:space="preserve">Arm fracture and punctured lung: single lung code vs multi-part code.</t>
  </si>
  <si>
    <t xml:space="preserve">An employee was performing maintenance on a field light for a football field. The employee was descending the light pole when the lifeline broke and he fell approximately 22 feet to the grass below. The employee sustained a fractured left arm and a punctured lung.</t>
  </si>
  <si>
    <t xml:space="preserve">D136</t>
  </si>
  <si>
    <t xml:space="preserve">4112</t>
  </si>
  <si>
    <t xml:space="preserve">Fall to lower level from collapsing structure or equipment— 6 to 30 feet</t>
  </si>
  <si>
    <t xml:space="preserve">4142, 419, 4122</t>
  </si>
  <si>
    <t xml:space="preserve">22 ft fall after lifeline failure: 4142 vs 4112 (collapsing equipment).</t>
  </si>
  <si>
    <t xml:space="preserve">D137</t>
  </si>
  <si>
    <t xml:space="preserve">2512</t>
  </si>
  <si>
    <t xml:space="preserve">Pedestrian struck by forward-moving vehicle in road work zone</t>
  </si>
  <si>
    <t xml:space="preserve">2500</t>
  </si>
  <si>
    <t xml:space="preserve">Pedestrian struck by vehicle— unspecified</t>
  </si>
  <si>
    <t xml:space="preserve">2510, 2520, 2530, 2501, 2502</t>
  </si>
  <si>
    <t xml:space="preserve">Work-zone qualifier not stated; 2512 vs 2500.</t>
  </si>
  <si>
    <t xml:space="preserve">D138</t>
  </si>
  <si>
    <t xml:space="preserve">6331</t>
  </si>
  <si>
    <t xml:space="preserve">Guardrails, road dividers or barriers</t>
  </si>
  <si>
    <t xml:space="preserve">6330, 991</t>
  </si>
  <si>
    <t xml:space="preserve">Barriers as secondary source optional.</t>
  </si>
  <si>
    <t xml:space="preserve">D139</t>
  </si>
  <si>
    <t xml:space="preserve">2024087785</t>
  </si>
  <si>
    <t xml:space="preserve">2024-08-23</t>
  </si>
  <si>
    <t xml:space="preserve">181, 1811, 189</t>
  </si>
  <si>
    <t xml:space="preserve">Head injury, lung injury and fractures: multiple natures.</t>
  </si>
  <si>
    <t xml:space="preserve">An employee was debugging/troubleshooting the teach sensor on a load-handling device (LHD) inside of a cell. The LHD unexpectedly moved to the home location and struck the employee on their head. The employee sustained a head injury, an aspiration-induced lung injury, and fractures to his lower back and right ankle.</t>
  </si>
  <si>
    <t xml:space="preserve">D140</t>
  </si>
  <si>
    <t xml:space="preserve">3470</t>
  </si>
  <si>
    <t xml:space="preserve">Material handling and warehousing machinery— unspecified</t>
  </si>
  <si>
    <t xml:space="preserve">349, 3479</t>
  </si>
  <si>
    <t xml:space="preserve">Load-handling device: elevators/hoists vs material handling machinery.</t>
  </si>
  <si>
    <t xml:space="preserve">D141</t>
  </si>
  <si>
    <t xml:space="preserve">933</t>
  </si>
  <si>
    <t xml:space="preserve">Autonomous or robotic system failure</t>
  </si>
  <si>
    <t xml:space="preserve">991, 941</t>
  </si>
  <si>
    <t xml:space="preserve">Autonomous/robotic failure as secondary source optional.</t>
  </si>
  <si>
    <t xml:space="preserve">D142</t>
  </si>
  <si>
    <t xml:space="preserve">2024087848</t>
  </si>
  <si>
    <t xml:space="preserve">2024-08-25</t>
  </si>
  <si>
    <t xml:space="preserve">2723</t>
  </si>
  <si>
    <t xml:space="preserve">Collision with stationary object, nonroadway</t>
  </si>
  <si>
    <t xml:space="preserve">2721</t>
  </si>
  <si>
    <t xml:space="preserve">Vehicle struck by falling or flying object(s), nonroadway</t>
  </si>
  <si>
    <t xml:space="preserve">2723, 6439, 643</t>
  </si>
  <si>
    <t xml:space="preserve">Tractor struck tree and limb fell on worker: collision (2723) vs vehicle struck by falling object (2721).</t>
  </si>
  <si>
    <t xml:space="preserve">An employee was backing up a tractor when it struck a dead tree, causing a tree limb to fall and strike the employee's head. The employee sustained facial lacerations and head trauma.</t>
  </si>
  <si>
    <t xml:space="preserve">D143</t>
  </si>
  <si>
    <t xml:space="preserve">2612</t>
  </si>
  <si>
    <t xml:space="preserve">Roadway collision with other vehicle(s) moving in same direction</t>
  </si>
  <si>
    <t xml:space="preserve">2614</t>
  </si>
  <si>
    <t xml:space="preserve">Roadway collision with other vehicle(s)—moving and standing vehicle</t>
  </si>
  <si>
    <t xml:space="preserve">261, 2610, 251, 2632, 2633</t>
  </si>
  <si>
    <t xml:space="preserve">Truck struck from behind: 2612 vs 2614 depends on whether the truck was moving or stopped.</t>
  </si>
  <si>
    <t xml:space="preserve">D144</t>
  </si>
  <si>
    <t xml:space="preserve">2024021346</t>
  </si>
  <si>
    <t xml:space="preserve">2024-02-12</t>
  </si>
  <si>
    <t xml:space="preserve">169</t>
  </si>
  <si>
    <t xml:space="preserve">Effects of poison, toxic, or allergenic exposure — n.e.c.</t>
  </si>
  <si>
    <t xml:space="preserve">162</t>
  </si>
  <si>
    <t xml:space="preserve">Anaphylactic shock, anaphylaxis</t>
  </si>
  <si>
    <t xml:space="preserve">2914, 161</t>
  </si>
  <si>
    <t xml:space="preserve">Allergic reaction with arrest: anaphylaxis (162) not named; 169 defensible.</t>
  </si>
  <si>
    <t xml:space="preserve">An employee was serving food when steam from the food caused the employee to go into respiratory arrest and cardiac arrest due to a food allergy.</t>
  </si>
  <si>
    <t xml:space="preserve">D145</t>
  </si>
  <si>
    <t xml:space="preserve">4151</t>
  </si>
  <si>
    <t xml:space="preserve">Steam, vapors nonchemical</t>
  </si>
  <si>
    <t xml:space="preserve">5220</t>
  </si>
  <si>
    <t xml:space="preserve">Food products— unspecified</t>
  </si>
  <si>
    <t xml:space="preserve">5229</t>
  </si>
  <si>
    <t xml:space="preserve">Steam vs food: narrative supports both.</t>
  </si>
  <si>
    <t xml:space="preserve">D146</t>
  </si>
  <si>
    <t xml:space="preserve">Food products — unspecified</t>
  </si>
  <si>
    <t xml:space="preserve">D147</t>
  </si>
  <si>
    <t xml:space="preserve">2024043268</t>
  </si>
  <si>
    <t xml:space="preserve">2024-04-15</t>
  </si>
  <si>
    <t xml:space="preserve">4140, 4141, 4311, 4312</t>
  </si>
  <si>
    <t xml:space="preserve">Slipped on truck steps and fell: 4131 vs 42.</t>
  </si>
  <si>
    <t xml:space="preserve">An employee was loading something into their truck while at a truck stop when they slipped on the truck steps and fell. The employee's head struck a metal phone box and their back struck a concrete block. The employee suffered a head contusion and was hospitalized.</t>
  </si>
  <si>
    <t xml:space="preserve">D148</t>
  </si>
  <si>
    <t xml:space="preserve">2024087369</t>
  </si>
  <si>
    <t xml:space="preserve">2024-08-12</t>
  </si>
  <si>
    <t xml:space="preserve">60</t>
  </si>
  <si>
    <t xml:space="preserve">Structures and surfaces — unspecified</t>
  </si>
  <si>
    <t xml:space="preserve">656</t>
  </si>
  <si>
    <t xml:space="preserve">Trusses, girders, beams—structurally attached</t>
  </si>
  <si>
    <t xml:space="preserve">663, 990</t>
  </si>
  <si>
    <t xml:space="preserve">An employee was on the second level of a mushroom house and nailing a crosspiece of wood to support a mushroom bed when the 2x6 stringer that holds up the 3-foot wide walkway broke and the employee fell to the ground level. The employee sustained two fractured ribs.</t>
  </si>
  <si>
    <t xml:space="preserve">D149</t>
  </si>
  <si>
    <t xml:space="preserve">20241211372</t>
  </si>
  <si>
    <t xml:space="preserve">2024-12-09</t>
  </si>
  <si>
    <t xml:space="preserve">990, 663, 991</t>
  </si>
  <si>
    <t xml:space="preserve">Ground vs other constructed surface; narrative says 'the ground'.</t>
  </si>
  <si>
    <t xml:space="preserve">An employee was climbing down a ladder when he slipped and fell to the ground. The employee sustained broken ribs and a lacerated spleen.</t>
  </si>
  <si>
    <t xml:space="preserve">D150</t>
  </si>
  <si>
    <t xml:space="preserve">521</t>
  </si>
  <si>
    <t xml:space="preserve">Thigh(s)</t>
  </si>
  <si>
    <t xml:space="preserve">520</t>
  </si>
  <si>
    <t xml:space="preserve">Leg(s)— unspecified</t>
  </si>
  <si>
    <t xml:space="preserve">521, 528</t>
  </si>
  <si>
    <t xml:space="preserve">Explained: recorded code supported on re-read</t>
  </si>
  <si>
    <t xml:space="preserve">Narrative states the right thigh was impaled; thigh (521) is supported.</t>
  </si>
  <si>
    <t xml:space="preserve">D151</t>
  </si>
  <si>
    <t xml:space="preserve">6652</t>
  </si>
  <si>
    <t xml:space="preserve">Walked or ran into stationary object</t>
  </si>
  <si>
    <t xml:space="preserve">6650</t>
  </si>
  <si>
    <t xml:space="preserve">Struck against stationary object— unspecified</t>
  </si>
  <si>
    <t xml:space="preserve">6652, 6659, 665</t>
  </si>
  <si>
    <t xml:space="preserve">'Bumped into' a dishwasher fits 6652 walked/ran into stationary object.</t>
  </si>
  <si>
    <t xml:space="preserve">D152</t>
  </si>
  <si>
    <t xml:space="preserve">2024010008</t>
  </si>
  <si>
    <t xml:space="preserve">2024-01-01</t>
  </si>
  <si>
    <t xml:space="preserve">4713</t>
  </si>
  <si>
    <t xml:space="preserve">Wheels, tire rims</t>
  </si>
  <si>
    <t xml:space="preserve">122, 4741</t>
  </si>
  <si>
    <t xml:space="preserve">Narrative states the rim struck the worker; rim (4713) is supported.</t>
  </si>
  <si>
    <t xml:space="preserve">An employee was inflating a tire on a flatbed trailer when the tire exploded. The rim struck the employee, resulting in a broken right arm.</t>
  </si>
  <si>
    <t xml:space="preserve">D153</t>
  </si>
  <si>
    <t xml:space="preserve">2024042890</t>
  </si>
  <si>
    <t xml:space="preserve">2024-04-02</t>
  </si>
  <si>
    <t xml:space="preserve">1221</t>
  </si>
  <si>
    <t xml:space="preserve">Amputations involving bone loss</t>
  </si>
  <si>
    <t xml:space="preserve">1220</t>
  </si>
  <si>
    <t xml:space="preserve">Amputations, avulsions, enucleations— unspecified</t>
  </si>
  <si>
    <t xml:space="preserve">1221, 1441, 1440, 100</t>
  </si>
  <si>
    <t xml:space="preserve">Surgical above-knee amputation implies bone loss (1221).</t>
  </si>
  <si>
    <t xml:space="preserve">An employee was stocking customer shelves when he was getting up from the floor and lost his balance, hyperextending his left leg. This resulted in the surgical amputation of the leg above the knee.</t>
  </si>
  <si>
    <t xml:space="preserve">D154</t>
  </si>
  <si>
    <t xml:space="preserve">521, 522</t>
  </si>
  <si>
    <t xml:space="preserve">Amputation above the knee involves the thigh (521).</t>
  </si>
  <si>
    <t xml:space="preserve">D155</t>
  </si>
  <si>
    <t xml:space="preserve">6439</t>
  </si>
  <si>
    <t xml:space="preserve">Struck by other falling object — n.e.c.</t>
  </si>
  <si>
    <t xml:space="preserve">6430</t>
  </si>
  <si>
    <t xml:space="preserve">Struck by falling object— unspecified</t>
  </si>
  <si>
    <t xml:space="preserve">6439, 6433, 6431</t>
  </si>
  <si>
    <t xml:space="preserve">Roll dropped from the clamp is a falling object; 6439 n.e.c. is supported.</t>
  </si>
  <si>
    <t xml:space="preserve">D156</t>
  </si>
  <si>
    <t xml:space="preserve">5463</t>
  </si>
  <si>
    <t xml:space="preserve">Limbs, branches unattached</t>
  </si>
  <si>
    <t xml:space="preserve">Trees, logs, limbs— unspecified</t>
  </si>
  <si>
    <t xml:space="preserve">5461, 5469, 546</t>
  </si>
  <si>
    <t xml:space="preserve">Narrative says a tree branch fell on the worker; 5463 limbs/branches is more specific and supported.</t>
  </si>
  <si>
    <t xml:space="preserve">D157</t>
  </si>
  <si>
    <t xml:space="preserve">1824, 103</t>
  </si>
  <si>
    <t xml:space="preserve">Fracture plus compartment syndrome are two natures (Nature R3); a multiple-injury code is supported.</t>
  </si>
  <si>
    <t xml:space="preserve">D158</t>
  </si>
  <si>
    <t xml:space="preserve">6352</t>
  </si>
  <si>
    <t xml:space="preserve">Utility poles</t>
  </si>
  <si>
    <t xml:space="preserve">6353</t>
  </si>
  <si>
    <t xml:space="preserve">Road signs, poles— except utility</t>
  </si>
  <si>
    <t xml:space="preserve">6359, 6350, 224</t>
  </si>
  <si>
    <t xml:space="preserve">Manual 6352 includes lamppost/area-lighting poles; 'light post' supports 6352.</t>
  </si>
  <si>
    <t xml:space="preserve">D159</t>
  </si>
  <si>
    <t xml:space="preserve">189, 1221, 1821</t>
  </si>
  <si>
    <t xml:space="preserve">Amputated thumb with a table saw implies bone loss; 1221 supported.</t>
  </si>
  <si>
    <t xml:space="preserve">D160</t>
  </si>
  <si>
    <t xml:space="preserve">2024054261</t>
  </si>
  <si>
    <t xml:space="preserve">2024-05-14</t>
  </si>
  <si>
    <t xml:space="preserve">659, 653</t>
  </si>
  <si>
    <t xml:space="preserve">Blade of a mower is an attached part of running equipment; 659 supported.</t>
  </si>
  <si>
    <t xml:space="preserve">An employee was operating a mower when the blade struck their foot.</t>
  </si>
  <si>
    <t xml:space="preserve">D161</t>
  </si>
  <si>
    <t xml:space="preserve">20241211261</t>
  </si>
  <si>
    <t xml:space="preserve">2024-12-05</t>
  </si>
  <si>
    <t xml:space="preserve">1442</t>
  </si>
  <si>
    <t xml:space="preserve">Sprains, strains, minor tears</t>
  </si>
  <si>
    <t xml:space="preserve">1442, 1441</t>
  </si>
  <si>
    <t xml:space="preserve">'Sprained lower back' fits 1442 sprain/strain.</t>
  </si>
  <si>
    <t xml:space="preserve">An employee was descending exterior stairs when they slipped on ice and fell to the ground. The employee sustained a sprained lower back.</t>
  </si>
  <si>
    <t xml:space="preserve">D162</t>
  </si>
  <si>
    <t xml:space="preserve">2024109924</t>
  </si>
  <si>
    <t xml:space="preserve">2024-10-24</t>
  </si>
  <si>
    <t xml:space="preserve">318</t>
  </si>
  <si>
    <t xml:space="preserve">Multiple internal chest locations</t>
  </si>
  <si>
    <t xml:space="preserve">Chest— unspecified</t>
  </si>
  <si>
    <t xml:space="preserve">318, 3112, 3123, 31</t>
  </si>
  <si>
    <t xml:space="preserve">Broken ribs and punctured lung are internal chest locations (318).</t>
  </si>
  <si>
    <t xml:space="preserve">A maintenance technician was checking the tire pressure on a debarking drum tire. They then initiated the process of adding air into the tire to the specified pounds per square inch. Within seconds, the side wall of the tire ruptured and the maintenance technician sustained broken ribs and a punctured lung.</t>
  </si>
  <si>
    <t xml:space="preserve">D163</t>
  </si>
  <si>
    <t xml:space="preserve">346</t>
  </si>
  <si>
    <t xml:space="preserve">Air compressors</t>
  </si>
  <si>
    <t xml:space="preserve">323, 122</t>
  </si>
  <si>
    <t xml:space="preserve">Narrative says air was being added to the tire; air compressor (346) is supported.</t>
  </si>
  <si>
    <t xml:space="preserve">D164</t>
  </si>
  <si>
    <t xml:space="preserve">2024087416</t>
  </si>
  <si>
    <t xml:space="preserve">2024-08-13</t>
  </si>
  <si>
    <t xml:space="preserve">110, 1110, 1113</t>
  </si>
  <si>
    <t xml:space="preserve">Manual 1110 includes unspecified head injury with visual disturbance (light sensitivity) or slurred speech; supported.</t>
  </si>
  <si>
    <t xml:space="preserve">An employee was pushing the door of a trailer open when a clothes dryer that was against the door fell out of the trailer. The dryer struck the employee on his hard hat and he was hospitalized and required surgery. He had neck pain, slurred speech, and sensitivity to light.</t>
  </si>
  <si>
    <t xml:space="preserve">D165</t>
  </si>
  <si>
    <t xml:space="preserve">811</t>
  </si>
  <si>
    <t xml:space="preserve">Head and neck</t>
  </si>
  <si>
    <t xml:space="preserve">10, 81, 821</t>
  </si>
  <si>
    <t xml:space="preserve">Brain (111) follows from the 1110 nature.</t>
  </si>
  <si>
    <t xml:space="preserve">D166</t>
  </si>
  <si>
    <t xml:space="preserve">6432, 6439</t>
  </si>
  <si>
    <t xml:space="preserve">Dryer falling out of a trailer is a falling object; 6439 supported.</t>
  </si>
  <si>
    <t xml:space="preserve">D167</t>
  </si>
  <si>
    <t xml:space="preserve">3615</t>
  </si>
  <si>
    <t xml:space="preserve">Butchering machinery</t>
  </si>
  <si>
    <t xml:space="preserve">361</t>
  </si>
  <si>
    <t xml:space="preserve">Fish fillet machine is butchering-type machinery (3615); supported.</t>
  </si>
  <si>
    <t xml:space="preserve">D168</t>
  </si>
  <si>
    <t xml:space="preserve">Sprain/strain; 1442 fits.</t>
  </si>
  <si>
    <t xml:space="preserve">D169</t>
  </si>
  <si>
    <t xml:space="preserve">2024053967</t>
  </si>
  <si>
    <t xml:space="preserve">2024-05-06</t>
  </si>
  <si>
    <t xml:space="preserve">Trunk— unspecified</t>
  </si>
  <si>
    <t xml:space="preserve">330, 331, 340, 3413, 990</t>
  </si>
  <si>
    <t xml:space="preserve">Hernia is an abdominal-wall condition (330).</t>
  </si>
  <si>
    <t xml:space="preserve">An employee was lifting boxes from a conveyor belt and putting them into a truck when he felt discomfort and stopped. He sustained a hernia and was hospitalized.</t>
  </si>
  <si>
    <t xml:space="preserve">D170</t>
  </si>
  <si>
    <t xml:space="preserve">5729</t>
  </si>
  <si>
    <t xml:space="preserve">Work associate — n.e.c.</t>
  </si>
  <si>
    <t xml:space="preserve">570, 579</t>
  </si>
  <si>
    <t xml:space="preserve">Carpenter on the same site as work associate; 5729 supported.</t>
  </si>
  <si>
    <t xml:space="preserve">D171</t>
  </si>
  <si>
    <t xml:space="preserve">41</t>
  </si>
  <si>
    <t xml:space="preserve">Shoulder(s), clavicle(s), scapula(e)</t>
  </si>
  <si>
    <t xml:space="preserve">883, 6</t>
  </si>
  <si>
    <t xml:space="preserve">Part rule 2.c (systemic reactions, Part 6) / 883</t>
  </si>
  <si>
    <t xml:space="preserve">Electric shock plus dislocated shoulder: body-systems-and-other-part code (883) supported.</t>
  </si>
  <si>
    <t xml:space="preserve">D172</t>
  </si>
  <si>
    <t xml:space="preserve">Intentional violence by other person— n.e.c.</t>
  </si>
  <si>
    <t xml:space="preserve">110, 1142, 612, 114</t>
  </si>
  <si>
    <t xml:space="preserve">Narrative states the worker was calming a patient; 1142 (while providing care) supported.</t>
  </si>
  <si>
    <t xml:space="preserve">D173</t>
  </si>
  <si>
    <t xml:space="preserve">2024098111</t>
  </si>
  <si>
    <t xml:space="preserve">2024-09-01</t>
  </si>
  <si>
    <t xml:space="preserve">168</t>
  </si>
  <si>
    <t xml:space="preserve">Multiple effects of poison, toxic, or allergenic exposure</t>
  </si>
  <si>
    <t xml:space="preserve">163, 166, 167</t>
  </si>
  <si>
    <t xml:space="preserve">Welts plus respiratory difficulty are combined skin and systemic reactions; manual 168 supports it.</t>
  </si>
  <si>
    <t xml:space="preserve">An employee was taking a break outside when they were bit by multiple ants that resulted in welts on their lower legs and ankles. The employee experienced difficulty breathing and they were hospitalized with an allergic reaction.</t>
  </si>
  <si>
    <t xml:space="preserve">D174</t>
  </si>
  <si>
    <t xml:space="preserve">Skin and systemic effects: 883 supported.</t>
  </si>
  <si>
    <t xml:space="preserve">D175</t>
  </si>
  <si>
    <t xml:space="preserve">5311</t>
  </si>
  <si>
    <t xml:space="preserve">Bacteria</t>
  </si>
  <si>
    <t xml:space="preserve">Infectious agents— unspecified</t>
  </si>
  <si>
    <t xml:space="preserve">531, 164</t>
  </si>
  <si>
    <t xml:space="preserve">Legionella is a bacterium; 5311 supported.</t>
  </si>
  <si>
    <t xml:space="preserve">D176</t>
  </si>
  <si>
    <t xml:space="preserve">899</t>
  </si>
  <si>
    <t xml:space="preserve">Multiple body parts — n.e.c.</t>
  </si>
  <si>
    <t xml:space="preserve">88, 81, 813, 882, 899</t>
  </si>
  <si>
    <t xml:space="preserve">Arms, hands, neck and face are listed parts; 899 more appropriate than unspecified.</t>
  </si>
  <si>
    <t xml:space="preserve">D177</t>
  </si>
  <si>
    <t xml:space="preserve">1352</t>
  </si>
  <si>
    <t xml:space="preserve">Petroleum-based fuels</t>
  </si>
  <si>
    <t xml:space="preserve">Gasoline (petroleum fuel) is stated in the narrative.</t>
  </si>
  <si>
    <t xml:space="preserve">D178</t>
  </si>
  <si>
    <t xml:space="preserve">146</t>
  </si>
  <si>
    <t xml:space="preserve">Pinched nerve</t>
  </si>
  <si>
    <t xml:space="preserve">149</t>
  </si>
  <si>
    <t xml:space="preserve">Soft tissue injuries— n.e.c.</t>
  </si>
  <si>
    <t xml:space="preserve">146, 140</t>
  </si>
  <si>
    <t xml:space="preserve">Nerve damage; pinched nerve (146) is defensible.</t>
  </si>
  <si>
    <t xml:space="preserve">D179</t>
  </si>
  <si>
    <t xml:space="preserve">813, 882, 88</t>
  </si>
  <si>
    <t xml:space="preserve">Multiple listed parts; 899 supported.</t>
  </si>
  <si>
    <t xml:space="preserve">D180</t>
  </si>
  <si>
    <t xml:space="preserve">4716</t>
  </si>
  <si>
    <t xml:space="preserve">Axles, suspensions</t>
  </si>
  <si>
    <t xml:space="preserve">4639</t>
  </si>
  <si>
    <t xml:space="preserve">Machine hydraulics and pressurized components— n.e.c.</t>
  </si>
  <si>
    <t xml:space="preserve">463, 4630, 4631</t>
  </si>
  <si>
    <t xml:space="preserve">Air spring is part of the suspension; 4716 supported.</t>
  </si>
  <si>
    <t xml:space="preserve">D181</t>
  </si>
  <si>
    <t xml:space="preserve">651</t>
  </si>
  <si>
    <t xml:space="preserve">Struck by running powered equipment— irregular movement, kick back</t>
  </si>
  <si>
    <t xml:space="preserve">659, 665, 6650</t>
  </si>
  <si>
    <t xml:space="preserve">Mower stopped after hitting a rock; 2723 collision with stationary object supported.</t>
  </si>
  <si>
    <t xml:space="preserve">D182</t>
  </si>
  <si>
    <t xml:space="preserve">2024065209</t>
  </si>
  <si>
    <t xml:space="preserve">2024-06-12</t>
  </si>
  <si>
    <t xml:space="preserve">5829</t>
  </si>
  <si>
    <t xml:space="preserve">Foot(feet) and leg(s) — n.e.c.</t>
  </si>
  <si>
    <t xml:space="preserve">5820</t>
  </si>
  <si>
    <t xml:space="preserve">Foot(feet) and leg(s)— unspecified</t>
  </si>
  <si>
    <t xml:space="preserve">5829, 580</t>
  </si>
  <si>
    <t xml:space="preserve">Legs and feet are named; 5829 supported over unspecified.</t>
  </si>
  <si>
    <t xml:space="preserve">An employee was removing hot oil from a fryer. The employee was using a small plastic bucket to move oil from the fryer to a larger bucket. The oil melted through the bucket and spilled onto the employee's legs and feet causing first- and second-degree burns to both legs and feet. The employee was hospitalized.</t>
  </si>
  <si>
    <t xml:space="preserve">D183</t>
  </si>
  <si>
    <t xml:space="preserve">2113</t>
  </si>
  <si>
    <t xml:space="preserve">Buckets, baskets, pails</t>
  </si>
  <si>
    <t xml:space="preserve">2110</t>
  </si>
  <si>
    <t xml:space="preserve">Nonpressurized containers— unspecified</t>
  </si>
  <si>
    <t xml:space="preserve">2114, 332, 3325</t>
  </si>
  <si>
    <t xml:space="preserve">Narrative states a plastic bucket; 2113 supported.</t>
  </si>
  <si>
    <t xml:space="preserve">D184</t>
  </si>
  <si>
    <t xml:space="preserve">6350</t>
  </si>
  <si>
    <t xml:space="preserve">Towers, poles— unspecified</t>
  </si>
  <si>
    <t xml:space="preserve">6353, 6359, 635</t>
  </si>
  <si>
    <t xml:space="preserve">Manual 6352 includes area-lighting poles; supported.</t>
  </si>
  <si>
    <t xml:space="preserve">D185</t>
  </si>
  <si>
    <t xml:space="preserve">9222</t>
  </si>
  <si>
    <t xml:space="preserve">Fall protection equipment</t>
  </si>
  <si>
    <t xml:space="preserve">4423</t>
  </si>
  <si>
    <t xml:space="preserve">Rope, twine, string</t>
  </si>
  <si>
    <t xml:space="preserve">4420, 931, 922</t>
  </si>
  <si>
    <t xml:space="preserve">Lifeline is fall-protection equipment (9222).</t>
  </si>
  <si>
    <t xml:space="preserve">D186</t>
  </si>
  <si>
    <t xml:space="preserve">88, 81, 882</t>
  </si>
  <si>
    <t xml:space="preserve">Head, lung, lower back, ankle: multiple parts; 899 supported.</t>
  </si>
  <si>
    <t xml:space="preserve">D187</t>
  </si>
  <si>
    <t xml:space="preserve">132</t>
  </si>
  <si>
    <t xml:space="preserve">Cuts, lacerations, punctures without injury to internal structures</t>
  </si>
  <si>
    <t xml:space="preserve">100, 138, 1831, 180</t>
  </si>
  <si>
    <t xml:space="preserve">Facial lacerations and head trauma are multiple natures; 180 supported.</t>
  </si>
  <si>
    <t xml:space="preserve">D188</t>
  </si>
  <si>
    <t xml:space="preserve">9527</t>
  </si>
  <si>
    <t xml:space="preserve">Waves, surges, rough seas</t>
  </si>
  <si>
    <t xml:space="preserve">672</t>
  </si>
  <si>
    <t xml:space="preserve">Rivers, streams</t>
  </si>
  <si>
    <t xml:space="preserve">954, 952</t>
  </si>
  <si>
    <t xml:space="preserve">Swell/waves are stated; 9527 supported.</t>
  </si>
  <si>
    <t xml:space="preserve">D189</t>
  </si>
  <si>
    <t xml:space="preserve">7511</t>
  </si>
  <si>
    <t xml:space="preserve">Phones, communication devices — wired and wireless</t>
  </si>
  <si>
    <t xml:space="preserve">639</t>
  </si>
  <si>
    <t xml:space="preserve">Narrative says head struck a metal phone box; 7511 supported.</t>
  </si>
  <si>
    <t xml:space="preserve">D190</t>
  </si>
  <si>
    <t xml:space="preserve">D191</t>
  </si>
  <si>
    <t xml:space="preserve">6344</t>
  </si>
  <si>
    <t xml:space="preserve">Catwalks</t>
  </si>
  <si>
    <t xml:space="preserve">625</t>
  </si>
  <si>
    <t xml:space="preserve">Agricultural building— except silos</t>
  </si>
  <si>
    <t xml:space="preserve">634, 659</t>
  </si>
  <si>
    <t xml:space="preserve">Walkway that broke is a catwalk-type structure; 6344 supported.</t>
  </si>
  <si>
    <t xml:space="preserve">D192</t>
  </si>
  <si>
    <t xml:space="preserve">Demolition saw is stated; 7122 supported.</t>
  </si>
  <si>
    <t xml:space="preserve">D193</t>
  </si>
  <si>
    <t xml:space="preserve">20241211458</t>
  </si>
  <si>
    <t xml:space="preserve">2024-12-11</t>
  </si>
  <si>
    <t xml:space="preserve">643</t>
  </si>
  <si>
    <t xml:space="preserve">Electrical systems</t>
  </si>
  <si>
    <t xml:space="preserve">461, 4610</t>
  </si>
  <si>
    <t xml:space="preserve">Narrative states contact with an open electrical cabinet; 4615 supported.</t>
  </si>
  <si>
    <t xml:space="preserve">An employee was walking along an area of ground to survey the location for the replacement of cable and equipment. They tripped on an area of loose soil near the pad mounted electrical distribution cabinet and contacted it. The cabinet was open and exposing interior switches. The employee received burns to both hands and wrists. The employee also went into cardiopulmonary arrest.</t>
  </si>
  <si>
    <t xml:space="preserve">D194</t>
  </si>
  <si>
    <t xml:space="preserve">128</t>
  </si>
  <si>
    <t xml:space="preserve">Multiple severe wounds and internal injuries</t>
  </si>
  <si>
    <t xml:space="preserve">124, 1231, 1238</t>
  </si>
  <si>
    <t xml:space="preserve">Fractured ribs plus lacerated spleen: multiple severe wounds/internal injuries (128) supported.</t>
  </si>
  <si>
    <t xml:space="preserve">All fields</t>
  </si>
  <si>
    <t xml:space="preserve">Total differing fields</t>
  </si>
  <si>
    <t xml:space="preserve">Note: "Insufficient narrative information" on this sheet counts differing fields only. Fields that were inconclusive but happened to match the recorded code exactly are not in this log (they are counted in the Summary sheet of sample_review.xlsx).</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</si>
</sst>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Calibri"/>
      <family val="0"/>
      <charset val="1"/>
    </font>
    <font>
      <sz val="10"/>
      <name val="Calibri"/>
      <family val="0"/>
      <charset val="1"/>
    </font>
    <font>
      <b val="true"/>
      <sz val="11"/>
      <name val="Cambria"/>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F0D9"/>
          <bgColor rgb="FF000000"/>
        </patternFill>
      </fill>
    </dxf>
    <dxf>
      <fill>
        <patternFill patternType="solid">
          <fgColor rgb="FFEDEDED"/>
          <bgColor rgb="FF000000"/>
        </patternFill>
      </fill>
    </dxf>
    <dxf>
      <fill>
        <patternFill patternType="solid">
          <fgColor rgb="FFF8CBAD"/>
          <bgColor rgb="FF000000"/>
        </patternFill>
      </fill>
    </dxf>
    <dxf>
      <fill>
        <patternFill>
          <bgColor rgb="FFF8CBAD"/>
        </patternFill>
      </fill>
    </dxf>
    <dxf>
      <fill>
        <patternFill>
          <bgColor rgb="FFE2F0D9"/>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14"/>
    <col collapsed="false" customWidth="true" hidden="false" outlineLevel="0" max="4" min="4" style="0" width="11"/>
    <col collapsed="false" customWidth="true" hidden="false" outlineLevel="0" max="5" min="5" style="0" width="16"/>
    <col collapsed="false" customWidth="true" hidden="false" outlineLevel="0" max="6" min="6" style="0" width="10"/>
    <col collapsed="false" customWidth="true" hidden="false" outlineLevel="0" max="7" min="7" style="0" width="34"/>
    <col collapsed="false" customWidth="true" hidden="false" outlineLevel="0" max="8" min="8" style="0" width="9"/>
    <col collapsed="false" customWidth="true" hidden="false" outlineLevel="0" max="9" min="9" style="0" width="34"/>
    <col collapsed="false" customWidth="true" hidden="false" outlineLevel="0" max="10" min="10" style="0" width="18"/>
    <col collapsed="false" customWidth="true" hidden="false" outlineLevel="0" max="11" min="11" style="0" width="30"/>
    <col collapsed="false" customWidth="true" hidden="false" outlineLevel="0" max="13" min="12" style="0" width="12"/>
    <col collapsed="false" customWidth="true" hidden="false" outlineLevel="0" max="14" min="14" style="0" width="40"/>
    <col collapsed="false" customWidth="true" hidden="false" outlineLevel="0" max="15" min="15" style="0" width="48"/>
    <col collapsed="false" customWidth="true" hidden="false" outlineLevel="0" max="16" min="16" style="0" width="70"/>
    <col collapsed="false" customWidth="true" hidden="false" outlineLevel="0" max="17" min="17" style="0" width="80"/>
  </cols>
  <sheetData>
    <row r="1" customFormat="false" ht="39.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23.85" hidden="false" customHeight="false" outlineLevel="0" collapsed="false">
      <c r="A2" s="2" t="s">
        <v>17</v>
      </c>
      <c r="B2" s="2" t="n">
        <v>4</v>
      </c>
      <c r="C2" s="2" t="s">
        <v>18</v>
      </c>
      <c r="D2" s="2" t="s">
        <v>19</v>
      </c>
      <c r="E2" s="2" t="s">
        <v>20</v>
      </c>
      <c r="F2" s="2" t="s">
        <v>21</v>
      </c>
      <c r="G2" s="2" t="s">
        <v>22</v>
      </c>
      <c r="H2" s="2" t="s">
        <v>23</v>
      </c>
      <c r="I2" s="2" t="s">
        <v>24</v>
      </c>
      <c r="J2" s="2"/>
      <c r="K2" s="2" t="s">
        <v>25</v>
      </c>
      <c r="L2" s="2" t="s">
        <v>26</v>
      </c>
      <c r="M2" s="2" t="s">
        <v>26</v>
      </c>
      <c r="N2" s="2" t="s">
        <v>27</v>
      </c>
      <c r="O2" s="2" t="s">
        <v>28</v>
      </c>
      <c r="P2" s="2" t="s">
        <v>29</v>
      </c>
      <c r="Q2" s="2" t="s">
        <v>30</v>
      </c>
    </row>
    <row r="3" customFormat="false" ht="23.85" hidden="false" customHeight="false" outlineLevel="0" collapsed="false">
      <c r="A3" s="2" t="s">
        <v>31</v>
      </c>
      <c r="B3" s="2" t="n">
        <v>20</v>
      </c>
      <c r="C3" s="2" t="s">
        <v>32</v>
      </c>
      <c r="D3" s="2" t="s">
        <v>33</v>
      </c>
      <c r="E3" s="2" t="s">
        <v>34</v>
      </c>
      <c r="F3" s="2" t="s">
        <v>35</v>
      </c>
      <c r="G3" s="2" t="s">
        <v>36</v>
      </c>
      <c r="H3" s="2" t="s">
        <v>37</v>
      </c>
      <c r="I3" s="2" t="s">
        <v>38</v>
      </c>
      <c r="J3" s="2" t="s">
        <v>39</v>
      </c>
      <c r="K3" s="2" t="s">
        <v>25</v>
      </c>
      <c r="L3" s="2" t="s">
        <v>26</v>
      </c>
      <c r="M3" s="2" t="s">
        <v>26</v>
      </c>
      <c r="N3" s="2" t="s">
        <v>27</v>
      </c>
      <c r="O3" s="2" t="s">
        <v>40</v>
      </c>
      <c r="P3" s="2" t="s">
        <v>41</v>
      </c>
      <c r="Q3" s="2" t="s">
        <v>42</v>
      </c>
    </row>
    <row r="4" customFormat="false" ht="35.05" hidden="false" customHeight="false" outlineLevel="0" collapsed="false">
      <c r="A4" s="2" t="s">
        <v>43</v>
      </c>
      <c r="B4" s="2" t="n">
        <v>44</v>
      </c>
      <c r="C4" s="2" t="s">
        <v>44</v>
      </c>
      <c r="D4" s="2" t="s">
        <v>45</v>
      </c>
      <c r="E4" s="2" t="s">
        <v>46</v>
      </c>
      <c r="F4" s="2" t="s">
        <v>47</v>
      </c>
      <c r="G4" s="2" t="s">
        <v>48</v>
      </c>
      <c r="H4" s="2" t="s">
        <v>49</v>
      </c>
      <c r="I4" s="2" t="s">
        <v>50</v>
      </c>
      <c r="J4" s="2"/>
      <c r="K4" s="2" t="s">
        <v>51</v>
      </c>
      <c r="L4" s="2" t="s">
        <v>26</v>
      </c>
      <c r="M4" s="2" t="s">
        <v>26</v>
      </c>
      <c r="N4" s="2" t="s">
        <v>27</v>
      </c>
      <c r="O4" s="2" t="s">
        <v>52</v>
      </c>
      <c r="P4" s="2" t="s">
        <v>53</v>
      </c>
      <c r="Q4" s="2" t="s">
        <v>54</v>
      </c>
    </row>
    <row r="5" customFormat="false" ht="35.05" hidden="false" customHeight="false" outlineLevel="0" collapsed="false">
      <c r="A5" s="2" t="s">
        <v>55</v>
      </c>
      <c r="B5" s="2" t="n">
        <v>93</v>
      </c>
      <c r="C5" s="2" t="s">
        <v>56</v>
      </c>
      <c r="D5" s="2" t="s">
        <v>57</v>
      </c>
      <c r="E5" s="2" t="s">
        <v>58</v>
      </c>
      <c r="F5" s="2" t="s">
        <v>59</v>
      </c>
      <c r="G5" s="2" t="s">
        <v>60</v>
      </c>
      <c r="H5" s="2" t="s">
        <v>61</v>
      </c>
      <c r="I5" s="2" t="s">
        <v>62</v>
      </c>
      <c r="J5" s="2"/>
      <c r="K5" s="2" t="s">
        <v>51</v>
      </c>
      <c r="L5" s="2" t="s">
        <v>26</v>
      </c>
      <c r="M5" s="2" t="s">
        <v>26</v>
      </c>
      <c r="N5" s="2" t="s">
        <v>27</v>
      </c>
      <c r="O5" s="2" t="s">
        <v>63</v>
      </c>
      <c r="P5" s="2" t="s">
        <v>64</v>
      </c>
      <c r="Q5" s="2" t="s">
        <v>65</v>
      </c>
    </row>
    <row r="6" customFormat="false" ht="23.85" hidden="false" customHeight="false" outlineLevel="0" collapsed="false">
      <c r="A6" s="2" t="s">
        <v>66</v>
      </c>
      <c r="B6" s="2" t="n">
        <v>9</v>
      </c>
      <c r="C6" s="2" t="s">
        <v>67</v>
      </c>
      <c r="D6" s="2" t="s">
        <v>68</v>
      </c>
      <c r="E6" s="2" t="s">
        <v>34</v>
      </c>
      <c r="F6" s="2" t="s">
        <v>69</v>
      </c>
      <c r="G6" s="2" t="s">
        <v>70</v>
      </c>
      <c r="H6" s="2" t="s">
        <v>71</v>
      </c>
      <c r="I6" s="2" t="s">
        <v>72</v>
      </c>
      <c r="J6" s="2" t="s">
        <v>73</v>
      </c>
      <c r="K6" s="2" t="s">
        <v>51</v>
      </c>
      <c r="L6" s="2" t="s">
        <v>26</v>
      </c>
      <c r="M6" s="2" t="s">
        <v>26</v>
      </c>
      <c r="N6" s="2" t="s">
        <v>74</v>
      </c>
      <c r="O6" s="2" t="s">
        <v>75</v>
      </c>
      <c r="P6" s="2" t="s">
        <v>76</v>
      </c>
      <c r="Q6" s="2" t="s">
        <v>77</v>
      </c>
    </row>
    <row r="7" customFormat="false" ht="23.85" hidden="false" customHeight="false" outlineLevel="0" collapsed="false">
      <c r="A7" s="2" t="s">
        <v>78</v>
      </c>
      <c r="B7" s="2" t="n">
        <v>10</v>
      </c>
      <c r="C7" s="2" t="s">
        <v>79</v>
      </c>
      <c r="D7" s="2" t="s">
        <v>80</v>
      </c>
      <c r="E7" s="2" t="s">
        <v>34</v>
      </c>
      <c r="F7" s="2" t="s">
        <v>69</v>
      </c>
      <c r="G7" s="2" t="s">
        <v>70</v>
      </c>
      <c r="H7" s="2" t="s">
        <v>81</v>
      </c>
      <c r="I7" s="2" t="s">
        <v>82</v>
      </c>
      <c r="J7" s="2" t="s">
        <v>83</v>
      </c>
      <c r="K7" s="2" t="s">
        <v>51</v>
      </c>
      <c r="L7" s="2" t="s">
        <v>26</v>
      </c>
      <c r="M7" s="2" t="s">
        <v>26</v>
      </c>
      <c r="N7" s="2" t="s">
        <v>74</v>
      </c>
      <c r="O7" s="2" t="s">
        <v>75</v>
      </c>
      <c r="P7" s="2" t="s">
        <v>84</v>
      </c>
      <c r="Q7" s="2" t="s">
        <v>85</v>
      </c>
    </row>
    <row r="8" customFormat="false" ht="46.25" hidden="false" customHeight="false" outlineLevel="0" collapsed="false">
      <c r="A8" s="2" t="s">
        <v>86</v>
      </c>
      <c r="B8" s="2" t="n">
        <v>13</v>
      </c>
      <c r="C8" s="2" t="s">
        <v>87</v>
      </c>
      <c r="D8" s="2" t="s">
        <v>88</v>
      </c>
      <c r="E8" s="2" t="s">
        <v>89</v>
      </c>
      <c r="F8" s="2" t="s">
        <v>90</v>
      </c>
      <c r="G8" s="2" t="s">
        <v>91</v>
      </c>
      <c r="H8" s="2" t="s">
        <v>92</v>
      </c>
      <c r="I8" s="2" t="s">
        <v>93</v>
      </c>
      <c r="J8" s="2" t="s">
        <v>94</v>
      </c>
      <c r="K8" s="2" t="s">
        <v>25</v>
      </c>
      <c r="L8" s="2" t="s">
        <v>26</v>
      </c>
      <c r="M8" s="2" t="s">
        <v>26</v>
      </c>
      <c r="N8" s="2" t="s">
        <v>74</v>
      </c>
      <c r="O8" s="2" t="s">
        <v>52</v>
      </c>
      <c r="P8" s="2" t="s">
        <v>95</v>
      </c>
      <c r="Q8" s="2" t="s">
        <v>96</v>
      </c>
    </row>
    <row r="9" customFormat="false" ht="23.85" hidden="false" customHeight="false" outlineLevel="0" collapsed="false">
      <c r="A9" s="2" t="s">
        <v>97</v>
      </c>
      <c r="B9" s="2" t="n">
        <v>31</v>
      </c>
      <c r="C9" s="2" t="s">
        <v>98</v>
      </c>
      <c r="D9" s="2" t="s">
        <v>99</v>
      </c>
      <c r="E9" s="2" t="s">
        <v>34</v>
      </c>
      <c r="F9" s="2" t="s">
        <v>37</v>
      </c>
      <c r="G9" s="2" t="s">
        <v>100</v>
      </c>
      <c r="H9" s="2" t="s">
        <v>35</v>
      </c>
      <c r="I9" s="2" t="s">
        <v>101</v>
      </c>
      <c r="J9" s="2" t="s">
        <v>102</v>
      </c>
      <c r="K9" s="2" t="s">
        <v>25</v>
      </c>
      <c r="L9" s="2" t="s">
        <v>26</v>
      </c>
      <c r="M9" s="2" t="s">
        <v>26</v>
      </c>
      <c r="N9" s="2" t="s">
        <v>74</v>
      </c>
      <c r="O9" s="2" t="s">
        <v>75</v>
      </c>
      <c r="P9" s="2" t="s">
        <v>103</v>
      </c>
      <c r="Q9" s="2" t="s">
        <v>104</v>
      </c>
    </row>
    <row r="10" customFormat="false" ht="23.85" hidden="false" customHeight="false" outlineLevel="0" collapsed="false">
      <c r="A10" s="2" t="s">
        <v>105</v>
      </c>
      <c r="B10" s="2" t="n">
        <v>31</v>
      </c>
      <c r="C10" s="2" t="s">
        <v>98</v>
      </c>
      <c r="D10" s="2" t="s">
        <v>99</v>
      </c>
      <c r="E10" s="2" t="s">
        <v>89</v>
      </c>
      <c r="F10" s="2" t="s">
        <v>106</v>
      </c>
      <c r="G10" s="2" t="s">
        <v>107</v>
      </c>
      <c r="H10" s="2" t="s">
        <v>108</v>
      </c>
      <c r="I10" s="2" t="s">
        <v>109</v>
      </c>
      <c r="J10" s="2" t="s">
        <v>110</v>
      </c>
      <c r="K10" s="2" t="s">
        <v>111</v>
      </c>
      <c r="L10" s="2" t="s">
        <v>26</v>
      </c>
      <c r="M10" s="2" t="s">
        <v>26</v>
      </c>
      <c r="N10" s="2" t="s">
        <v>74</v>
      </c>
      <c r="O10" s="2" t="s">
        <v>52</v>
      </c>
      <c r="P10" s="2" t="s">
        <v>112</v>
      </c>
      <c r="Q10" s="2" t="s">
        <v>104</v>
      </c>
    </row>
    <row r="11" customFormat="false" ht="15" hidden="false" customHeight="false" outlineLevel="0" collapsed="false">
      <c r="A11" s="2" t="s">
        <v>113</v>
      </c>
      <c r="B11" s="2" t="n">
        <v>33</v>
      </c>
      <c r="C11" s="2" t="s">
        <v>114</v>
      </c>
      <c r="D11" s="2" t="s">
        <v>115</v>
      </c>
      <c r="E11" s="2" t="s">
        <v>34</v>
      </c>
      <c r="F11" s="2" t="s">
        <v>116</v>
      </c>
      <c r="G11" s="2" t="s">
        <v>117</v>
      </c>
      <c r="H11" s="2" t="s">
        <v>118</v>
      </c>
      <c r="I11" s="2" t="s">
        <v>119</v>
      </c>
      <c r="J11" s="2" t="s">
        <v>120</v>
      </c>
      <c r="K11" s="2" t="s">
        <v>25</v>
      </c>
      <c r="L11" s="2" t="s">
        <v>121</v>
      </c>
      <c r="M11" s="2" t="s">
        <v>26</v>
      </c>
      <c r="N11" s="2" t="s">
        <v>74</v>
      </c>
      <c r="O11" s="2" t="s">
        <v>75</v>
      </c>
      <c r="P11" s="2" t="s">
        <v>122</v>
      </c>
      <c r="Q11" s="2" t="s">
        <v>123</v>
      </c>
    </row>
    <row r="12" customFormat="false" ht="35.05" hidden="false" customHeight="false" outlineLevel="0" collapsed="false">
      <c r="A12" s="2" t="s">
        <v>124</v>
      </c>
      <c r="B12" s="2" t="n">
        <v>43</v>
      </c>
      <c r="C12" s="2" t="s">
        <v>125</v>
      </c>
      <c r="D12" s="2" t="s">
        <v>126</v>
      </c>
      <c r="E12" s="2" t="s">
        <v>58</v>
      </c>
      <c r="F12" s="2" t="s">
        <v>127</v>
      </c>
      <c r="G12" s="2" t="s">
        <v>128</v>
      </c>
      <c r="H12" s="2" t="s">
        <v>129</v>
      </c>
      <c r="I12" s="2" t="s">
        <v>130</v>
      </c>
      <c r="J12" s="2" t="s">
        <v>131</v>
      </c>
      <c r="K12" s="2" t="s">
        <v>25</v>
      </c>
      <c r="L12" s="2" t="s">
        <v>121</v>
      </c>
      <c r="M12" s="2" t="s">
        <v>26</v>
      </c>
      <c r="N12" s="2" t="s">
        <v>74</v>
      </c>
      <c r="O12" s="2" t="s">
        <v>132</v>
      </c>
      <c r="P12" s="2" t="s">
        <v>133</v>
      </c>
      <c r="Q12" s="2" t="s">
        <v>134</v>
      </c>
    </row>
    <row r="13" customFormat="false" ht="35.05" hidden="false" customHeight="false" outlineLevel="0" collapsed="false">
      <c r="A13" s="2" t="s">
        <v>135</v>
      </c>
      <c r="B13" s="2" t="n">
        <v>45</v>
      </c>
      <c r="C13" s="2" t="s">
        <v>136</v>
      </c>
      <c r="D13" s="2" t="s">
        <v>137</v>
      </c>
      <c r="E13" s="2" t="s">
        <v>89</v>
      </c>
      <c r="F13" s="2" t="s">
        <v>138</v>
      </c>
      <c r="G13" s="2" t="s">
        <v>139</v>
      </c>
      <c r="H13" s="2" t="s">
        <v>140</v>
      </c>
      <c r="I13" s="2" t="s">
        <v>141</v>
      </c>
      <c r="J13" s="2" t="s">
        <v>142</v>
      </c>
      <c r="K13" s="2" t="s">
        <v>25</v>
      </c>
      <c r="L13" s="2" t="s">
        <v>26</v>
      </c>
      <c r="M13" s="2" t="s">
        <v>26</v>
      </c>
      <c r="N13" s="2" t="s">
        <v>74</v>
      </c>
      <c r="O13" s="2" t="s">
        <v>52</v>
      </c>
      <c r="P13" s="2" t="s">
        <v>143</v>
      </c>
      <c r="Q13" s="2" t="s">
        <v>144</v>
      </c>
    </row>
    <row r="14" customFormat="false" ht="23.85" hidden="false" customHeight="false" outlineLevel="0" collapsed="false">
      <c r="A14" s="2" t="s">
        <v>145</v>
      </c>
      <c r="B14" s="2" t="n">
        <v>50</v>
      </c>
      <c r="C14" s="2" t="s">
        <v>146</v>
      </c>
      <c r="D14" s="2" t="s">
        <v>147</v>
      </c>
      <c r="E14" s="2" t="s">
        <v>20</v>
      </c>
      <c r="F14" s="2" t="s">
        <v>148</v>
      </c>
      <c r="G14" s="2" t="s">
        <v>149</v>
      </c>
      <c r="H14" s="2" t="s">
        <v>150</v>
      </c>
      <c r="I14" s="2" t="s">
        <v>151</v>
      </c>
      <c r="J14" s="2" t="s">
        <v>148</v>
      </c>
      <c r="K14" s="2" t="s">
        <v>25</v>
      </c>
      <c r="L14" s="2" t="s">
        <v>121</v>
      </c>
      <c r="M14" s="2" t="s">
        <v>26</v>
      </c>
      <c r="N14" s="2" t="s">
        <v>74</v>
      </c>
      <c r="O14" s="2" t="s">
        <v>152</v>
      </c>
      <c r="P14" s="2" t="s">
        <v>153</v>
      </c>
      <c r="Q14" s="2" t="s">
        <v>154</v>
      </c>
    </row>
    <row r="15" customFormat="false" ht="35.05" hidden="false" customHeight="false" outlineLevel="0" collapsed="false">
      <c r="A15" s="2" t="s">
        <v>155</v>
      </c>
      <c r="B15" s="2" t="n">
        <v>74</v>
      </c>
      <c r="C15" s="2" t="s">
        <v>156</v>
      </c>
      <c r="D15" s="2" t="s">
        <v>157</v>
      </c>
      <c r="E15" s="2" t="s">
        <v>34</v>
      </c>
      <c r="F15" s="2" t="s">
        <v>69</v>
      </c>
      <c r="G15" s="2" t="s">
        <v>70</v>
      </c>
      <c r="H15" s="2" t="s">
        <v>158</v>
      </c>
      <c r="I15" s="2" t="s">
        <v>159</v>
      </c>
      <c r="J15" s="2" t="s">
        <v>160</v>
      </c>
      <c r="K15" s="2" t="s">
        <v>51</v>
      </c>
      <c r="L15" s="2" t="s">
        <v>26</v>
      </c>
      <c r="M15" s="2" t="s">
        <v>26</v>
      </c>
      <c r="N15" s="2" t="s">
        <v>74</v>
      </c>
      <c r="O15" s="2" t="s">
        <v>75</v>
      </c>
      <c r="P15" s="2" t="s">
        <v>161</v>
      </c>
      <c r="Q15" s="2" t="s">
        <v>162</v>
      </c>
    </row>
    <row r="16" customFormat="false" ht="35.05" hidden="false" customHeight="false" outlineLevel="0" collapsed="false">
      <c r="A16" s="2" t="s">
        <v>163</v>
      </c>
      <c r="B16" s="2" t="n">
        <v>74</v>
      </c>
      <c r="C16" s="2" t="s">
        <v>156</v>
      </c>
      <c r="D16" s="2" t="s">
        <v>157</v>
      </c>
      <c r="E16" s="2" t="s">
        <v>89</v>
      </c>
      <c r="F16" s="2" t="s">
        <v>69</v>
      </c>
      <c r="G16" s="2" t="s">
        <v>164</v>
      </c>
      <c r="H16" s="2" t="s">
        <v>165</v>
      </c>
      <c r="I16" s="2" t="s">
        <v>166</v>
      </c>
      <c r="J16" s="2" t="s">
        <v>167</v>
      </c>
      <c r="K16" s="2" t="s">
        <v>51</v>
      </c>
      <c r="L16" s="2" t="s">
        <v>26</v>
      </c>
      <c r="M16" s="2" t="s">
        <v>26</v>
      </c>
      <c r="N16" s="2" t="s">
        <v>74</v>
      </c>
      <c r="O16" s="2" t="s">
        <v>52</v>
      </c>
      <c r="P16" s="2" t="s">
        <v>168</v>
      </c>
      <c r="Q16" s="2" t="s">
        <v>162</v>
      </c>
    </row>
    <row r="17" customFormat="false" ht="35.05" hidden="false" customHeight="false" outlineLevel="0" collapsed="false">
      <c r="A17" s="2" t="s">
        <v>169</v>
      </c>
      <c r="B17" s="2" t="n">
        <v>75</v>
      </c>
      <c r="C17" s="2" t="s">
        <v>170</v>
      </c>
      <c r="D17" s="2" t="s">
        <v>171</v>
      </c>
      <c r="E17" s="2" t="s">
        <v>34</v>
      </c>
      <c r="F17" s="2" t="s">
        <v>172</v>
      </c>
      <c r="G17" s="2" t="s">
        <v>173</v>
      </c>
      <c r="H17" s="2" t="s">
        <v>174</v>
      </c>
      <c r="I17" s="2" t="s">
        <v>175</v>
      </c>
      <c r="J17" s="2" t="s">
        <v>176</v>
      </c>
      <c r="K17" s="2" t="s">
        <v>25</v>
      </c>
      <c r="L17" s="2" t="s">
        <v>26</v>
      </c>
      <c r="M17" s="2" t="s">
        <v>26</v>
      </c>
      <c r="N17" s="2" t="s">
        <v>74</v>
      </c>
      <c r="O17" s="2" t="s">
        <v>75</v>
      </c>
      <c r="P17" s="2" t="s">
        <v>177</v>
      </c>
      <c r="Q17" s="2" t="s">
        <v>178</v>
      </c>
    </row>
    <row r="18" customFormat="false" ht="35.05" hidden="false" customHeight="false" outlineLevel="0" collapsed="false">
      <c r="A18" s="2" t="s">
        <v>179</v>
      </c>
      <c r="B18" s="2" t="n">
        <v>77</v>
      </c>
      <c r="C18" s="2" t="s">
        <v>180</v>
      </c>
      <c r="D18" s="2" t="s">
        <v>181</v>
      </c>
      <c r="E18" s="2" t="s">
        <v>58</v>
      </c>
      <c r="F18" s="2" t="s">
        <v>182</v>
      </c>
      <c r="G18" s="2" t="s">
        <v>183</v>
      </c>
      <c r="H18" s="2" t="s">
        <v>184</v>
      </c>
      <c r="I18" s="2" t="s">
        <v>185</v>
      </c>
      <c r="J18" s="2" t="s">
        <v>186</v>
      </c>
      <c r="K18" s="2" t="s">
        <v>187</v>
      </c>
      <c r="L18" s="2" t="s">
        <v>121</v>
      </c>
      <c r="M18" s="2" t="s">
        <v>26</v>
      </c>
      <c r="N18" s="2" t="s">
        <v>74</v>
      </c>
      <c r="O18" s="2" t="s">
        <v>188</v>
      </c>
      <c r="P18" s="2" t="s">
        <v>189</v>
      </c>
      <c r="Q18" s="2" t="s">
        <v>190</v>
      </c>
    </row>
    <row r="19" customFormat="false" ht="35.05" hidden="false" customHeight="false" outlineLevel="0" collapsed="false">
      <c r="A19" s="2" t="s">
        <v>191</v>
      </c>
      <c r="B19" s="2" t="n">
        <v>77</v>
      </c>
      <c r="C19" s="2" t="s">
        <v>180</v>
      </c>
      <c r="D19" s="2" t="s">
        <v>181</v>
      </c>
      <c r="E19" s="2" t="s">
        <v>20</v>
      </c>
      <c r="F19" s="2" t="s">
        <v>192</v>
      </c>
      <c r="G19" s="2" t="s">
        <v>193</v>
      </c>
      <c r="H19" s="2" t="s">
        <v>194</v>
      </c>
      <c r="I19" s="2" t="s">
        <v>195</v>
      </c>
      <c r="J19" s="2" t="s">
        <v>196</v>
      </c>
      <c r="K19" s="2" t="s">
        <v>25</v>
      </c>
      <c r="L19" s="2" t="s">
        <v>26</v>
      </c>
      <c r="M19" s="2" t="s">
        <v>26</v>
      </c>
      <c r="N19" s="2" t="s">
        <v>74</v>
      </c>
      <c r="O19" s="2" t="s">
        <v>197</v>
      </c>
      <c r="P19" s="2" t="s">
        <v>198</v>
      </c>
      <c r="Q19" s="2" t="s">
        <v>190</v>
      </c>
    </row>
    <row r="20" customFormat="false" ht="57.45" hidden="false" customHeight="false" outlineLevel="0" collapsed="false">
      <c r="A20" s="2" t="s">
        <v>199</v>
      </c>
      <c r="B20" s="2" t="n">
        <v>87</v>
      </c>
      <c r="C20" s="2" t="s">
        <v>200</v>
      </c>
      <c r="D20" s="2" t="s">
        <v>201</v>
      </c>
      <c r="E20" s="2" t="s">
        <v>89</v>
      </c>
      <c r="F20" s="2" t="s">
        <v>202</v>
      </c>
      <c r="G20" s="2" t="s">
        <v>203</v>
      </c>
      <c r="H20" s="2" t="s">
        <v>204</v>
      </c>
      <c r="I20" s="2" t="s">
        <v>205</v>
      </c>
      <c r="J20" s="2" t="s">
        <v>206</v>
      </c>
      <c r="K20" s="2" t="s">
        <v>25</v>
      </c>
      <c r="L20" s="2" t="s">
        <v>26</v>
      </c>
      <c r="M20" s="2" t="s">
        <v>26</v>
      </c>
      <c r="N20" s="2" t="s">
        <v>74</v>
      </c>
      <c r="O20" s="2" t="s">
        <v>52</v>
      </c>
      <c r="P20" s="2" t="s">
        <v>207</v>
      </c>
      <c r="Q20" s="2" t="s">
        <v>208</v>
      </c>
    </row>
    <row r="21" customFormat="false" ht="46.25" hidden="false" customHeight="false" outlineLevel="0" collapsed="false">
      <c r="A21" s="2" t="s">
        <v>209</v>
      </c>
      <c r="B21" s="2" t="n">
        <v>95</v>
      </c>
      <c r="C21" s="2" t="s">
        <v>210</v>
      </c>
      <c r="D21" s="2" t="s">
        <v>211</v>
      </c>
      <c r="E21" s="2" t="s">
        <v>34</v>
      </c>
      <c r="F21" s="2" t="s">
        <v>106</v>
      </c>
      <c r="G21" s="2" t="s">
        <v>212</v>
      </c>
      <c r="H21" s="2" t="s">
        <v>116</v>
      </c>
      <c r="I21" s="2" t="s">
        <v>213</v>
      </c>
      <c r="J21" s="2" t="s">
        <v>214</v>
      </c>
      <c r="K21" s="2" t="s">
        <v>111</v>
      </c>
      <c r="L21" s="2" t="s">
        <v>26</v>
      </c>
      <c r="M21" s="2" t="s">
        <v>26</v>
      </c>
      <c r="N21" s="2" t="s">
        <v>74</v>
      </c>
      <c r="O21" s="2" t="s">
        <v>75</v>
      </c>
      <c r="P21" s="2" t="s">
        <v>215</v>
      </c>
      <c r="Q21" s="2" t="s">
        <v>216</v>
      </c>
    </row>
    <row r="22" customFormat="false" ht="35.05" hidden="false" customHeight="false" outlineLevel="0" collapsed="false">
      <c r="A22" s="2" t="s">
        <v>217</v>
      </c>
      <c r="B22" s="2" t="n">
        <v>98</v>
      </c>
      <c r="C22" s="2" t="s">
        <v>218</v>
      </c>
      <c r="D22" s="2" t="s">
        <v>219</v>
      </c>
      <c r="E22" s="2" t="s">
        <v>46</v>
      </c>
      <c r="F22" s="2" t="s">
        <v>220</v>
      </c>
      <c r="G22" s="2" t="s">
        <v>221</v>
      </c>
      <c r="H22" s="2" t="s">
        <v>222</v>
      </c>
      <c r="I22" s="2" t="s">
        <v>223</v>
      </c>
      <c r="J22" s="2" t="s">
        <v>224</v>
      </c>
      <c r="K22" s="2" t="s">
        <v>25</v>
      </c>
      <c r="L22" s="2" t="s">
        <v>121</v>
      </c>
      <c r="M22" s="2" t="s">
        <v>26</v>
      </c>
      <c r="N22" s="2" t="s">
        <v>74</v>
      </c>
      <c r="O22" s="2" t="s">
        <v>52</v>
      </c>
      <c r="P22" s="2" t="s">
        <v>225</v>
      </c>
      <c r="Q22" s="2" t="s">
        <v>226</v>
      </c>
    </row>
    <row r="23" customFormat="false" ht="23.85" hidden="false" customHeight="false" outlineLevel="0" collapsed="false">
      <c r="A23" s="2" t="s">
        <v>227</v>
      </c>
      <c r="B23" s="2" t="n">
        <v>2</v>
      </c>
      <c r="C23" s="2" t="s">
        <v>228</v>
      </c>
      <c r="D23" s="2" t="s">
        <v>229</v>
      </c>
      <c r="E23" s="2" t="s">
        <v>58</v>
      </c>
      <c r="F23" s="2" t="s">
        <v>230</v>
      </c>
      <c r="G23" s="2" t="s">
        <v>231</v>
      </c>
      <c r="H23" s="2" t="s">
        <v>232</v>
      </c>
      <c r="I23" s="2" t="s">
        <v>233</v>
      </c>
      <c r="J23" s="2" t="s">
        <v>234</v>
      </c>
      <c r="K23" s="2" t="s">
        <v>111</v>
      </c>
      <c r="L23" s="2" t="s">
        <v>26</v>
      </c>
      <c r="M23" s="2" t="s">
        <v>26</v>
      </c>
      <c r="N23" s="2" t="s">
        <v>235</v>
      </c>
      <c r="O23" s="2" t="s">
        <v>63</v>
      </c>
      <c r="P23" s="2" t="s">
        <v>236</v>
      </c>
      <c r="Q23" s="2" t="s">
        <v>237</v>
      </c>
    </row>
    <row r="24" customFormat="false" ht="23.85" hidden="false" customHeight="false" outlineLevel="0" collapsed="false">
      <c r="A24" s="2" t="s">
        <v>238</v>
      </c>
      <c r="B24" s="2" t="n">
        <v>2</v>
      </c>
      <c r="C24" s="2" t="s">
        <v>228</v>
      </c>
      <c r="D24" s="2" t="s">
        <v>229</v>
      </c>
      <c r="E24" s="2" t="s">
        <v>20</v>
      </c>
      <c r="F24" s="2" t="s">
        <v>239</v>
      </c>
      <c r="G24" s="2" t="s">
        <v>240</v>
      </c>
      <c r="H24" s="2" t="s">
        <v>69</v>
      </c>
      <c r="I24" s="2" t="s">
        <v>241</v>
      </c>
      <c r="J24" s="2" t="s">
        <v>242</v>
      </c>
      <c r="K24" s="2" t="s">
        <v>51</v>
      </c>
      <c r="L24" s="2" t="s">
        <v>26</v>
      </c>
      <c r="M24" s="2" t="s">
        <v>121</v>
      </c>
      <c r="N24" s="2" t="s">
        <v>235</v>
      </c>
      <c r="O24" s="2" t="s">
        <v>28</v>
      </c>
      <c r="P24" s="2" t="s">
        <v>243</v>
      </c>
      <c r="Q24" s="2" t="s">
        <v>237</v>
      </c>
    </row>
    <row r="25" customFormat="false" ht="15" hidden="false" customHeight="false" outlineLevel="0" collapsed="false">
      <c r="A25" s="2" t="s">
        <v>244</v>
      </c>
      <c r="B25" s="2" t="n">
        <v>5</v>
      </c>
      <c r="C25" s="2" t="s">
        <v>245</v>
      </c>
      <c r="D25" s="2" t="s">
        <v>246</v>
      </c>
      <c r="E25" s="2" t="s">
        <v>34</v>
      </c>
      <c r="F25" s="2" t="s">
        <v>247</v>
      </c>
      <c r="G25" s="2" t="s">
        <v>248</v>
      </c>
      <c r="H25" s="2" t="s">
        <v>69</v>
      </c>
      <c r="I25" s="2" t="s">
        <v>249</v>
      </c>
      <c r="J25" s="2" t="s">
        <v>250</v>
      </c>
      <c r="K25" s="2" t="s">
        <v>51</v>
      </c>
      <c r="L25" s="2" t="s">
        <v>121</v>
      </c>
      <c r="M25" s="2" t="s">
        <v>121</v>
      </c>
      <c r="N25" s="2" t="s">
        <v>235</v>
      </c>
      <c r="O25" s="2" t="s">
        <v>40</v>
      </c>
      <c r="P25" s="2" t="s">
        <v>243</v>
      </c>
      <c r="Q25" s="2" t="s">
        <v>251</v>
      </c>
    </row>
    <row r="26" customFormat="false" ht="23.85" hidden="false" customHeight="false" outlineLevel="0" collapsed="false">
      <c r="A26" s="2" t="s">
        <v>252</v>
      </c>
      <c r="B26" s="2" t="n">
        <v>5</v>
      </c>
      <c r="C26" s="2" t="s">
        <v>245</v>
      </c>
      <c r="D26" s="2" t="s">
        <v>246</v>
      </c>
      <c r="E26" s="2" t="s">
        <v>89</v>
      </c>
      <c r="F26" s="2" t="s">
        <v>253</v>
      </c>
      <c r="G26" s="2" t="s">
        <v>254</v>
      </c>
      <c r="H26" s="2" t="s">
        <v>69</v>
      </c>
      <c r="I26" s="2" t="s">
        <v>255</v>
      </c>
      <c r="J26" s="2" t="s">
        <v>256</v>
      </c>
      <c r="K26" s="2" t="s">
        <v>51</v>
      </c>
      <c r="L26" s="2" t="s">
        <v>26</v>
      </c>
      <c r="M26" s="2" t="s">
        <v>121</v>
      </c>
      <c r="N26" s="2" t="s">
        <v>235</v>
      </c>
      <c r="O26" s="2" t="s">
        <v>52</v>
      </c>
      <c r="P26" s="2" t="s">
        <v>243</v>
      </c>
      <c r="Q26" s="2" t="s">
        <v>251</v>
      </c>
    </row>
    <row r="27" customFormat="false" ht="23.85" hidden="false" customHeight="false" outlineLevel="0" collapsed="false">
      <c r="A27" s="2" t="s">
        <v>257</v>
      </c>
      <c r="B27" s="2" t="n">
        <v>5</v>
      </c>
      <c r="C27" s="2" t="s">
        <v>245</v>
      </c>
      <c r="D27" s="2" t="s">
        <v>246</v>
      </c>
      <c r="E27" s="2" t="s">
        <v>46</v>
      </c>
      <c r="F27" s="2" t="s">
        <v>258</v>
      </c>
      <c r="G27" s="2" t="s">
        <v>259</v>
      </c>
      <c r="H27" s="2" t="s">
        <v>69</v>
      </c>
      <c r="I27" s="2" t="s">
        <v>255</v>
      </c>
      <c r="J27" s="2" t="s">
        <v>258</v>
      </c>
      <c r="K27" s="2" t="s">
        <v>25</v>
      </c>
      <c r="L27" s="2" t="s">
        <v>121</v>
      </c>
      <c r="M27" s="2" t="s">
        <v>26</v>
      </c>
      <c r="N27" s="2" t="s">
        <v>235</v>
      </c>
      <c r="O27" s="2" t="s">
        <v>52</v>
      </c>
      <c r="P27" s="2" t="s">
        <v>243</v>
      </c>
      <c r="Q27" s="2" t="s">
        <v>251</v>
      </c>
    </row>
    <row r="28" customFormat="false" ht="23.85" hidden="false" customHeight="false" outlineLevel="0" collapsed="false">
      <c r="A28" s="2" t="s">
        <v>260</v>
      </c>
      <c r="B28" s="2" t="n">
        <v>8</v>
      </c>
      <c r="C28" s="2" t="s">
        <v>261</v>
      </c>
      <c r="D28" s="2" t="s">
        <v>262</v>
      </c>
      <c r="E28" s="2" t="s">
        <v>58</v>
      </c>
      <c r="F28" s="2" t="s">
        <v>263</v>
      </c>
      <c r="G28" s="2" t="s">
        <v>264</v>
      </c>
      <c r="H28" s="2" t="s">
        <v>265</v>
      </c>
      <c r="I28" s="2" t="s">
        <v>266</v>
      </c>
      <c r="J28" s="2" t="s">
        <v>267</v>
      </c>
      <c r="K28" s="2" t="s">
        <v>111</v>
      </c>
      <c r="L28" s="2" t="s">
        <v>121</v>
      </c>
      <c r="M28" s="2" t="s">
        <v>26</v>
      </c>
      <c r="N28" s="2" t="s">
        <v>235</v>
      </c>
      <c r="O28" s="2" t="s">
        <v>63</v>
      </c>
      <c r="P28" s="2" t="s">
        <v>268</v>
      </c>
      <c r="Q28" s="2" t="s">
        <v>269</v>
      </c>
    </row>
    <row r="29" customFormat="false" ht="23.85" hidden="false" customHeight="false" outlineLevel="0" collapsed="false">
      <c r="A29" s="2" t="s">
        <v>270</v>
      </c>
      <c r="B29" s="2" t="n">
        <v>8</v>
      </c>
      <c r="C29" s="2" t="s">
        <v>261</v>
      </c>
      <c r="D29" s="2" t="s">
        <v>262</v>
      </c>
      <c r="E29" s="2" t="s">
        <v>20</v>
      </c>
      <c r="F29" s="2" t="s">
        <v>271</v>
      </c>
      <c r="G29" s="2" t="s">
        <v>272</v>
      </c>
      <c r="H29" s="2" t="s">
        <v>273</v>
      </c>
      <c r="I29" s="2" t="s">
        <v>274</v>
      </c>
      <c r="J29" s="2"/>
      <c r="K29" s="2" t="s">
        <v>111</v>
      </c>
      <c r="L29" s="2" t="s">
        <v>26</v>
      </c>
      <c r="M29" s="2" t="s">
        <v>26</v>
      </c>
      <c r="N29" s="2" t="s">
        <v>235</v>
      </c>
      <c r="O29" s="2" t="s">
        <v>28</v>
      </c>
      <c r="P29" s="2" t="s">
        <v>275</v>
      </c>
      <c r="Q29" s="2" t="s">
        <v>269</v>
      </c>
    </row>
    <row r="30" customFormat="false" ht="23.85" hidden="false" customHeight="false" outlineLevel="0" collapsed="false">
      <c r="A30" s="2" t="s">
        <v>276</v>
      </c>
      <c r="B30" s="2" t="n">
        <v>10</v>
      </c>
      <c r="C30" s="2" t="s">
        <v>79</v>
      </c>
      <c r="D30" s="2" t="s">
        <v>80</v>
      </c>
      <c r="E30" s="2" t="s">
        <v>46</v>
      </c>
      <c r="F30" s="2" t="s">
        <v>69</v>
      </c>
      <c r="G30" s="2" t="s">
        <v>164</v>
      </c>
      <c r="H30" s="2" t="s">
        <v>258</v>
      </c>
      <c r="I30" s="2" t="s">
        <v>259</v>
      </c>
      <c r="J30" s="2"/>
      <c r="K30" s="2" t="s">
        <v>25</v>
      </c>
      <c r="L30" s="2" t="s">
        <v>26</v>
      </c>
      <c r="M30" s="2" t="s">
        <v>26</v>
      </c>
      <c r="N30" s="2" t="s">
        <v>235</v>
      </c>
      <c r="O30" s="2" t="s">
        <v>52</v>
      </c>
      <c r="P30" s="2" t="s">
        <v>277</v>
      </c>
      <c r="Q30" s="2" t="s">
        <v>85</v>
      </c>
    </row>
    <row r="31" customFormat="false" ht="23.85" hidden="false" customHeight="false" outlineLevel="0" collapsed="false">
      <c r="A31" s="2" t="s">
        <v>278</v>
      </c>
      <c r="B31" s="2" t="n">
        <v>12</v>
      </c>
      <c r="C31" s="2" t="s">
        <v>279</v>
      </c>
      <c r="D31" s="2" t="s">
        <v>280</v>
      </c>
      <c r="E31" s="2" t="s">
        <v>46</v>
      </c>
      <c r="F31" s="2" t="s">
        <v>258</v>
      </c>
      <c r="G31" s="2" t="s">
        <v>259</v>
      </c>
      <c r="H31" s="2" t="s">
        <v>69</v>
      </c>
      <c r="I31" s="2" t="s">
        <v>255</v>
      </c>
      <c r="J31" s="2" t="s">
        <v>258</v>
      </c>
      <c r="K31" s="2" t="s">
        <v>25</v>
      </c>
      <c r="L31" s="2" t="s">
        <v>121</v>
      </c>
      <c r="M31" s="2" t="s">
        <v>26</v>
      </c>
      <c r="N31" s="2" t="s">
        <v>235</v>
      </c>
      <c r="O31" s="2" t="s">
        <v>52</v>
      </c>
      <c r="P31" s="2" t="s">
        <v>281</v>
      </c>
      <c r="Q31" s="2" t="s">
        <v>282</v>
      </c>
    </row>
    <row r="32" customFormat="false" ht="46.25" hidden="false" customHeight="false" outlineLevel="0" collapsed="false">
      <c r="A32" s="2" t="s">
        <v>283</v>
      </c>
      <c r="B32" s="2" t="n">
        <v>18</v>
      </c>
      <c r="C32" s="2" t="s">
        <v>284</v>
      </c>
      <c r="D32" s="2" t="s">
        <v>285</v>
      </c>
      <c r="E32" s="2" t="s">
        <v>20</v>
      </c>
      <c r="F32" s="2" t="s">
        <v>286</v>
      </c>
      <c r="G32" s="2" t="s">
        <v>287</v>
      </c>
      <c r="H32" s="2" t="s">
        <v>288</v>
      </c>
      <c r="I32" s="2" t="s">
        <v>289</v>
      </c>
      <c r="J32" s="2" t="s">
        <v>290</v>
      </c>
      <c r="K32" s="2" t="s">
        <v>111</v>
      </c>
      <c r="L32" s="2" t="s">
        <v>26</v>
      </c>
      <c r="M32" s="2" t="s">
        <v>26</v>
      </c>
      <c r="N32" s="2" t="s">
        <v>235</v>
      </c>
      <c r="O32" s="2" t="s">
        <v>28</v>
      </c>
      <c r="P32" s="2" t="s">
        <v>291</v>
      </c>
      <c r="Q32" s="2" t="s">
        <v>292</v>
      </c>
    </row>
    <row r="33" customFormat="false" ht="23.85" hidden="false" customHeight="false" outlineLevel="0" collapsed="false">
      <c r="A33" s="2" t="s">
        <v>293</v>
      </c>
      <c r="B33" s="2" t="n">
        <v>26</v>
      </c>
      <c r="C33" s="2" t="s">
        <v>294</v>
      </c>
      <c r="D33" s="2" t="s">
        <v>295</v>
      </c>
      <c r="E33" s="2" t="s">
        <v>34</v>
      </c>
      <c r="F33" s="2" t="s">
        <v>296</v>
      </c>
      <c r="G33" s="2" t="s">
        <v>297</v>
      </c>
      <c r="H33" s="2" t="s">
        <v>298</v>
      </c>
      <c r="I33" s="2" t="s">
        <v>299</v>
      </c>
      <c r="J33" s="2" t="s">
        <v>300</v>
      </c>
      <c r="K33" s="2" t="s">
        <v>51</v>
      </c>
      <c r="L33" s="2" t="s">
        <v>26</v>
      </c>
      <c r="M33" s="2" t="s">
        <v>26</v>
      </c>
      <c r="N33" s="2" t="s">
        <v>235</v>
      </c>
      <c r="O33" s="2" t="s">
        <v>40</v>
      </c>
      <c r="P33" s="2" t="s">
        <v>301</v>
      </c>
      <c r="Q33" s="2" t="s">
        <v>302</v>
      </c>
    </row>
    <row r="34" customFormat="false" ht="23.85" hidden="false" customHeight="false" outlineLevel="0" collapsed="false">
      <c r="A34" s="2" t="s">
        <v>303</v>
      </c>
      <c r="B34" s="2" t="n">
        <v>29</v>
      </c>
      <c r="C34" s="2" t="s">
        <v>304</v>
      </c>
      <c r="D34" s="2" t="s">
        <v>305</v>
      </c>
      <c r="E34" s="2" t="s">
        <v>46</v>
      </c>
      <c r="F34" s="2" t="s">
        <v>306</v>
      </c>
      <c r="G34" s="2" t="s">
        <v>307</v>
      </c>
      <c r="H34" s="2" t="s">
        <v>69</v>
      </c>
      <c r="I34" s="2" t="s">
        <v>255</v>
      </c>
      <c r="J34" s="2" t="s">
        <v>258</v>
      </c>
      <c r="K34" s="2" t="s">
        <v>51</v>
      </c>
      <c r="L34" s="2" t="s">
        <v>26</v>
      </c>
      <c r="M34" s="2" t="s">
        <v>26</v>
      </c>
      <c r="N34" s="2" t="s">
        <v>235</v>
      </c>
      <c r="O34" s="2" t="s">
        <v>52</v>
      </c>
      <c r="P34" s="2" t="s">
        <v>308</v>
      </c>
      <c r="Q34" s="2" t="s">
        <v>309</v>
      </c>
    </row>
    <row r="35" customFormat="false" ht="23.85" hidden="false" customHeight="false" outlineLevel="0" collapsed="false">
      <c r="A35" s="2" t="s">
        <v>310</v>
      </c>
      <c r="B35" s="2" t="n">
        <v>31</v>
      </c>
      <c r="C35" s="2" t="s">
        <v>98</v>
      </c>
      <c r="D35" s="2" t="s">
        <v>99</v>
      </c>
      <c r="E35" s="2" t="s">
        <v>46</v>
      </c>
      <c r="F35" s="2" t="s">
        <v>69</v>
      </c>
      <c r="G35" s="2" t="s">
        <v>164</v>
      </c>
      <c r="H35" s="2" t="s">
        <v>258</v>
      </c>
      <c r="I35" s="2" t="s">
        <v>259</v>
      </c>
      <c r="J35" s="2"/>
      <c r="K35" s="2" t="s">
        <v>25</v>
      </c>
      <c r="L35" s="2" t="s">
        <v>26</v>
      </c>
      <c r="M35" s="2" t="s">
        <v>26</v>
      </c>
      <c r="N35" s="2" t="s">
        <v>235</v>
      </c>
      <c r="O35" s="2" t="s">
        <v>52</v>
      </c>
      <c r="P35" s="2" t="s">
        <v>311</v>
      </c>
      <c r="Q35" s="2" t="s">
        <v>104</v>
      </c>
    </row>
    <row r="36" customFormat="false" ht="35.05" hidden="false" customHeight="false" outlineLevel="0" collapsed="false">
      <c r="A36" s="2" t="s">
        <v>312</v>
      </c>
      <c r="B36" s="2" t="n">
        <v>38</v>
      </c>
      <c r="C36" s="2" t="s">
        <v>313</v>
      </c>
      <c r="D36" s="2" t="s">
        <v>314</v>
      </c>
      <c r="E36" s="2" t="s">
        <v>89</v>
      </c>
      <c r="F36" s="2" t="s">
        <v>106</v>
      </c>
      <c r="G36" s="2" t="s">
        <v>107</v>
      </c>
      <c r="H36" s="2" t="s">
        <v>69</v>
      </c>
      <c r="I36" s="2" t="s">
        <v>255</v>
      </c>
      <c r="J36" s="2" t="s">
        <v>106</v>
      </c>
      <c r="K36" s="2" t="s">
        <v>51</v>
      </c>
      <c r="L36" s="2" t="s">
        <v>121</v>
      </c>
      <c r="M36" s="2" t="s">
        <v>121</v>
      </c>
      <c r="N36" s="2" t="s">
        <v>235</v>
      </c>
      <c r="O36" s="2" t="s">
        <v>52</v>
      </c>
      <c r="P36" s="2" t="s">
        <v>243</v>
      </c>
      <c r="Q36" s="2" t="s">
        <v>315</v>
      </c>
    </row>
    <row r="37" customFormat="false" ht="23.85" hidden="false" customHeight="false" outlineLevel="0" collapsed="false">
      <c r="A37" s="2" t="s">
        <v>316</v>
      </c>
      <c r="B37" s="2" t="n">
        <v>42</v>
      </c>
      <c r="C37" s="2" t="s">
        <v>317</v>
      </c>
      <c r="D37" s="2" t="s">
        <v>318</v>
      </c>
      <c r="E37" s="2" t="s">
        <v>89</v>
      </c>
      <c r="F37" s="2" t="s">
        <v>273</v>
      </c>
      <c r="G37" s="2" t="s">
        <v>319</v>
      </c>
      <c r="H37" s="2" t="s">
        <v>320</v>
      </c>
      <c r="I37" s="2" t="s">
        <v>321</v>
      </c>
      <c r="J37" s="2" t="s">
        <v>322</v>
      </c>
      <c r="K37" s="2" t="s">
        <v>51</v>
      </c>
      <c r="L37" s="2" t="s">
        <v>26</v>
      </c>
      <c r="M37" s="2" t="s">
        <v>26</v>
      </c>
      <c r="N37" s="2" t="s">
        <v>235</v>
      </c>
      <c r="O37" s="2" t="s">
        <v>52</v>
      </c>
      <c r="P37" s="2" t="s">
        <v>323</v>
      </c>
      <c r="Q37" s="2" t="s">
        <v>324</v>
      </c>
    </row>
    <row r="38" customFormat="false" ht="35.05" hidden="false" customHeight="false" outlineLevel="0" collapsed="false">
      <c r="A38" s="2" t="s">
        <v>325</v>
      </c>
      <c r="B38" s="2" t="n">
        <v>46</v>
      </c>
      <c r="C38" s="2" t="s">
        <v>326</v>
      </c>
      <c r="D38" s="2" t="s">
        <v>327</v>
      </c>
      <c r="E38" s="2" t="s">
        <v>89</v>
      </c>
      <c r="F38" s="2" t="s">
        <v>328</v>
      </c>
      <c r="G38" s="2" t="s">
        <v>329</v>
      </c>
      <c r="H38" s="2" t="s">
        <v>330</v>
      </c>
      <c r="I38" s="2" t="s">
        <v>331</v>
      </c>
      <c r="J38" s="2" t="s">
        <v>332</v>
      </c>
      <c r="K38" s="2" t="s">
        <v>25</v>
      </c>
      <c r="L38" s="2" t="s">
        <v>26</v>
      </c>
      <c r="M38" s="2" t="s">
        <v>26</v>
      </c>
      <c r="N38" s="2" t="s">
        <v>235</v>
      </c>
      <c r="O38" s="2" t="s">
        <v>52</v>
      </c>
      <c r="P38" s="2" t="s">
        <v>333</v>
      </c>
      <c r="Q38" s="2" t="s">
        <v>334</v>
      </c>
    </row>
    <row r="39" customFormat="false" ht="23.85" hidden="false" customHeight="false" outlineLevel="0" collapsed="false">
      <c r="A39" s="2" t="s">
        <v>335</v>
      </c>
      <c r="B39" s="2" t="n">
        <v>47</v>
      </c>
      <c r="C39" s="2" t="s">
        <v>336</v>
      </c>
      <c r="D39" s="2" t="s">
        <v>337</v>
      </c>
      <c r="E39" s="2" t="s">
        <v>20</v>
      </c>
      <c r="F39" s="2" t="s">
        <v>338</v>
      </c>
      <c r="G39" s="2" t="s">
        <v>339</v>
      </c>
      <c r="H39" s="2" t="s">
        <v>69</v>
      </c>
      <c r="I39" s="2" t="s">
        <v>241</v>
      </c>
      <c r="J39" s="2"/>
      <c r="K39" s="2" t="s">
        <v>51</v>
      </c>
      <c r="L39" s="2" t="s">
        <v>26</v>
      </c>
      <c r="M39" s="2" t="s">
        <v>121</v>
      </c>
      <c r="N39" s="2" t="s">
        <v>235</v>
      </c>
      <c r="O39" s="2" t="s">
        <v>28</v>
      </c>
      <c r="P39" s="2" t="s">
        <v>243</v>
      </c>
      <c r="Q39" s="2" t="s">
        <v>340</v>
      </c>
    </row>
    <row r="40" customFormat="false" ht="23.85" hidden="false" customHeight="false" outlineLevel="0" collapsed="false">
      <c r="A40" s="2" t="s">
        <v>341</v>
      </c>
      <c r="B40" s="2" t="n">
        <v>53</v>
      </c>
      <c r="C40" s="2" t="s">
        <v>342</v>
      </c>
      <c r="D40" s="2" t="s">
        <v>343</v>
      </c>
      <c r="E40" s="2" t="s">
        <v>34</v>
      </c>
      <c r="F40" s="2" t="s">
        <v>344</v>
      </c>
      <c r="G40" s="2" t="s">
        <v>345</v>
      </c>
      <c r="H40" s="2" t="s">
        <v>346</v>
      </c>
      <c r="I40" s="2" t="s">
        <v>347</v>
      </c>
      <c r="J40" s="2" t="s">
        <v>348</v>
      </c>
      <c r="K40" s="2" t="s">
        <v>187</v>
      </c>
      <c r="L40" s="2" t="s">
        <v>121</v>
      </c>
      <c r="M40" s="2" t="s">
        <v>26</v>
      </c>
      <c r="N40" s="2" t="s">
        <v>235</v>
      </c>
      <c r="O40" s="2" t="s">
        <v>40</v>
      </c>
      <c r="P40" s="2" t="s">
        <v>349</v>
      </c>
      <c r="Q40" s="2" t="s">
        <v>350</v>
      </c>
    </row>
    <row r="41" customFormat="false" ht="23.85" hidden="false" customHeight="false" outlineLevel="0" collapsed="false">
      <c r="A41" s="2" t="s">
        <v>351</v>
      </c>
      <c r="B41" s="2" t="n">
        <v>54</v>
      </c>
      <c r="C41" s="2" t="s">
        <v>352</v>
      </c>
      <c r="D41" s="2" t="s">
        <v>353</v>
      </c>
      <c r="E41" s="2" t="s">
        <v>46</v>
      </c>
      <c r="F41" s="2" t="s">
        <v>354</v>
      </c>
      <c r="G41" s="2" t="s">
        <v>355</v>
      </c>
      <c r="H41" s="2" t="s">
        <v>258</v>
      </c>
      <c r="I41" s="2" t="s">
        <v>259</v>
      </c>
      <c r="J41" s="2"/>
      <c r="K41" s="2" t="s">
        <v>51</v>
      </c>
      <c r="L41" s="2" t="s">
        <v>26</v>
      </c>
      <c r="M41" s="2" t="s">
        <v>26</v>
      </c>
      <c r="N41" s="2" t="s">
        <v>235</v>
      </c>
      <c r="O41" s="2" t="s">
        <v>52</v>
      </c>
      <c r="P41" s="2" t="s">
        <v>356</v>
      </c>
      <c r="Q41" s="2" t="s">
        <v>357</v>
      </c>
    </row>
    <row r="42" customFormat="false" ht="23.85" hidden="false" customHeight="false" outlineLevel="0" collapsed="false">
      <c r="A42" s="2" t="s">
        <v>358</v>
      </c>
      <c r="B42" s="2" t="n">
        <v>58</v>
      </c>
      <c r="C42" s="2" t="s">
        <v>359</v>
      </c>
      <c r="D42" s="2" t="s">
        <v>360</v>
      </c>
      <c r="E42" s="2" t="s">
        <v>89</v>
      </c>
      <c r="F42" s="2" t="s">
        <v>361</v>
      </c>
      <c r="G42" s="2" t="s">
        <v>362</v>
      </c>
      <c r="H42" s="2" t="s">
        <v>363</v>
      </c>
      <c r="I42" s="2" t="s">
        <v>364</v>
      </c>
      <c r="J42" s="2" t="s">
        <v>365</v>
      </c>
      <c r="K42" s="2" t="s">
        <v>111</v>
      </c>
      <c r="L42" s="2" t="s">
        <v>26</v>
      </c>
      <c r="M42" s="2" t="s">
        <v>26</v>
      </c>
      <c r="N42" s="2" t="s">
        <v>235</v>
      </c>
      <c r="O42" s="2" t="s">
        <v>52</v>
      </c>
      <c r="P42" s="2" t="s">
        <v>366</v>
      </c>
      <c r="Q42" s="2" t="s">
        <v>367</v>
      </c>
    </row>
    <row r="43" customFormat="false" ht="23.85" hidden="false" customHeight="false" outlineLevel="0" collapsed="false">
      <c r="A43" s="2" t="s">
        <v>368</v>
      </c>
      <c r="B43" s="2" t="n">
        <v>63</v>
      </c>
      <c r="C43" s="2" t="s">
        <v>369</v>
      </c>
      <c r="D43" s="2" t="s">
        <v>370</v>
      </c>
      <c r="E43" s="2" t="s">
        <v>89</v>
      </c>
      <c r="F43" s="2" t="s">
        <v>47</v>
      </c>
      <c r="G43" s="2" t="s">
        <v>48</v>
      </c>
      <c r="H43" s="2" t="s">
        <v>106</v>
      </c>
      <c r="I43" s="2" t="s">
        <v>371</v>
      </c>
      <c r="J43" s="2" t="s">
        <v>90</v>
      </c>
      <c r="K43" s="2" t="s">
        <v>51</v>
      </c>
      <c r="L43" s="2" t="s">
        <v>26</v>
      </c>
      <c r="M43" s="2" t="s">
        <v>121</v>
      </c>
      <c r="N43" s="2" t="s">
        <v>235</v>
      </c>
      <c r="O43" s="2" t="s">
        <v>52</v>
      </c>
      <c r="P43" s="2" t="s">
        <v>243</v>
      </c>
      <c r="Q43" s="2" t="s">
        <v>372</v>
      </c>
    </row>
    <row r="44" customFormat="false" ht="23.85" hidden="false" customHeight="false" outlineLevel="0" collapsed="false">
      <c r="A44" s="2" t="s">
        <v>373</v>
      </c>
      <c r="B44" s="2" t="n">
        <v>63</v>
      </c>
      <c r="C44" s="2" t="s">
        <v>369</v>
      </c>
      <c r="D44" s="2" t="s">
        <v>370</v>
      </c>
      <c r="E44" s="2" t="s">
        <v>46</v>
      </c>
      <c r="F44" s="2" t="s">
        <v>106</v>
      </c>
      <c r="G44" s="2" t="s">
        <v>107</v>
      </c>
      <c r="H44" s="2" t="s">
        <v>258</v>
      </c>
      <c r="I44" s="2" t="s">
        <v>259</v>
      </c>
      <c r="J44" s="2" t="s">
        <v>69</v>
      </c>
      <c r="K44" s="2" t="s">
        <v>51</v>
      </c>
      <c r="L44" s="2" t="s">
        <v>26</v>
      </c>
      <c r="M44" s="2" t="s">
        <v>26</v>
      </c>
      <c r="N44" s="2" t="s">
        <v>235</v>
      </c>
      <c r="O44" s="2" t="s">
        <v>52</v>
      </c>
      <c r="P44" s="2" t="s">
        <v>374</v>
      </c>
      <c r="Q44" s="2" t="s">
        <v>372</v>
      </c>
    </row>
    <row r="45" customFormat="false" ht="35.05" hidden="false" customHeight="false" outlineLevel="0" collapsed="false">
      <c r="A45" s="2" t="s">
        <v>375</v>
      </c>
      <c r="B45" s="2" t="n">
        <v>74</v>
      </c>
      <c r="C45" s="2" t="s">
        <v>156</v>
      </c>
      <c r="D45" s="2" t="s">
        <v>157</v>
      </c>
      <c r="E45" s="2" t="s">
        <v>46</v>
      </c>
      <c r="F45" s="2" t="s">
        <v>69</v>
      </c>
      <c r="G45" s="2" t="s">
        <v>164</v>
      </c>
      <c r="H45" s="2" t="s">
        <v>258</v>
      </c>
      <c r="I45" s="2" t="s">
        <v>259</v>
      </c>
      <c r="J45" s="2"/>
      <c r="K45" s="2" t="s">
        <v>25</v>
      </c>
      <c r="L45" s="2" t="s">
        <v>26</v>
      </c>
      <c r="M45" s="2" t="s">
        <v>26</v>
      </c>
      <c r="N45" s="2" t="s">
        <v>235</v>
      </c>
      <c r="O45" s="2" t="s">
        <v>52</v>
      </c>
      <c r="P45" s="2" t="s">
        <v>376</v>
      </c>
      <c r="Q45" s="2" t="s">
        <v>162</v>
      </c>
    </row>
    <row r="46" customFormat="false" ht="23.85" hidden="false" customHeight="false" outlineLevel="0" collapsed="false">
      <c r="A46" s="2" t="s">
        <v>377</v>
      </c>
      <c r="B46" s="2" t="n">
        <v>83</v>
      </c>
      <c r="C46" s="2" t="s">
        <v>378</v>
      </c>
      <c r="D46" s="2" t="s">
        <v>379</v>
      </c>
      <c r="E46" s="2" t="s">
        <v>58</v>
      </c>
      <c r="F46" s="2" t="s">
        <v>380</v>
      </c>
      <c r="G46" s="2" t="s">
        <v>381</v>
      </c>
      <c r="H46" s="2" t="s">
        <v>265</v>
      </c>
      <c r="I46" s="2" t="s">
        <v>266</v>
      </c>
      <c r="J46" s="2" t="s">
        <v>382</v>
      </c>
      <c r="K46" s="2" t="s">
        <v>111</v>
      </c>
      <c r="L46" s="2" t="s">
        <v>121</v>
      </c>
      <c r="M46" s="2" t="s">
        <v>26</v>
      </c>
      <c r="N46" s="2" t="s">
        <v>235</v>
      </c>
      <c r="O46" s="2" t="s">
        <v>63</v>
      </c>
      <c r="P46" s="2" t="s">
        <v>383</v>
      </c>
      <c r="Q46" s="2" t="s">
        <v>384</v>
      </c>
    </row>
    <row r="47" customFormat="false" ht="23.85" hidden="false" customHeight="false" outlineLevel="0" collapsed="false">
      <c r="A47" s="2" t="s">
        <v>385</v>
      </c>
      <c r="B47" s="2" t="n">
        <v>83</v>
      </c>
      <c r="C47" s="2" t="s">
        <v>378</v>
      </c>
      <c r="D47" s="2" t="s">
        <v>379</v>
      </c>
      <c r="E47" s="2" t="s">
        <v>20</v>
      </c>
      <c r="F47" s="2" t="s">
        <v>271</v>
      </c>
      <c r="G47" s="2" t="s">
        <v>272</v>
      </c>
      <c r="H47" s="2" t="s">
        <v>273</v>
      </c>
      <c r="I47" s="2" t="s">
        <v>274</v>
      </c>
      <c r="J47" s="2"/>
      <c r="K47" s="2" t="s">
        <v>111</v>
      </c>
      <c r="L47" s="2" t="s">
        <v>26</v>
      </c>
      <c r="M47" s="2" t="s">
        <v>26</v>
      </c>
      <c r="N47" s="2" t="s">
        <v>235</v>
      </c>
      <c r="O47" s="2" t="s">
        <v>28</v>
      </c>
      <c r="P47" s="2" t="s">
        <v>386</v>
      </c>
      <c r="Q47" s="2" t="s">
        <v>384</v>
      </c>
    </row>
    <row r="48" customFormat="false" ht="23.85" hidden="false" customHeight="false" outlineLevel="0" collapsed="false">
      <c r="A48" s="2" t="s">
        <v>387</v>
      </c>
      <c r="B48" s="2" t="n">
        <v>85</v>
      </c>
      <c r="C48" s="2" t="s">
        <v>388</v>
      </c>
      <c r="D48" s="2" t="s">
        <v>389</v>
      </c>
      <c r="E48" s="2" t="s">
        <v>34</v>
      </c>
      <c r="F48" s="2" t="s">
        <v>390</v>
      </c>
      <c r="G48" s="2" t="s">
        <v>391</v>
      </c>
      <c r="H48" s="2" t="s">
        <v>392</v>
      </c>
      <c r="I48" s="2" t="s">
        <v>393</v>
      </c>
      <c r="J48" s="2" t="s">
        <v>394</v>
      </c>
      <c r="K48" s="2" t="s">
        <v>187</v>
      </c>
      <c r="L48" s="2" t="s">
        <v>121</v>
      </c>
      <c r="M48" s="2" t="s">
        <v>26</v>
      </c>
      <c r="N48" s="2" t="s">
        <v>235</v>
      </c>
      <c r="O48" s="2" t="s">
        <v>40</v>
      </c>
      <c r="P48" s="2" t="s">
        <v>395</v>
      </c>
      <c r="Q48" s="2" t="s">
        <v>396</v>
      </c>
    </row>
    <row r="49" customFormat="false" ht="46.25" hidden="false" customHeight="false" outlineLevel="0" collapsed="false">
      <c r="A49" s="2" t="s">
        <v>397</v>
      </c>
      <c r="B49" s="2" t="n">
        <v>89</v>
      </c>
      <c r="C49" s="2" t="s">
        <v>398</v>
      </c>
      <c r="D49" s="2" t="s">
        <v>399</v>
      </c>
      <c r="E49" s="2" t="s">
        <v>89</v>
      </c>
      <c r="F49" s="2" t="s">
        <v>400</v>
      </c>
      <c r="G49" s="2" t="s">
        <v>401</v>
      </c>
      <c r="H49" s="2" t="s">
        <v>402</v>
      </c>
      <c r="I49" s="2" t="s">
        <v>403</v>
      </c>
      <c r="J49" s="2" t="s">
        <v>404</v>
      </c>
      <c r="K49" s="2" t="s">
        <v>25</v>
      </c>
      <c r="L49" s="2" t="s">
        <v>121</v>
      </c>
      <c r="M49" s="2" t="s">
        <v>26</v>
      </c>
      <c r="N49" s="2" t="s">
        <v>235</v>
      </c>
      <c r="O49" s="2" t="s">
        <v>52</v>
      </c>
      <c r="P49" s="2" t="s">
        <v>405</v>
      </c>
      <c r="Q49" s="2" t="s">
        <v>406</v>
      </c>
    </row>
    <row r="50" customFormat="false" ht="23.85" hidden="false" customHeight="false" outlineLevel="0" collapsed="false">
      <c r="A50" s="2" t="s">
        <v>407</v>
      </c>
      <c r="B50" s="2" t="n">
        <v>97</v>
      </c>
      <c r="C50" s="2" t="s">
        <v>408</v>
      </c>
      <c r="D50" s="2" t="s">
        <v>409</v>
      </c>
      <c r="E50" s="2" t="s">
        <v>34</v>
      </c>
      <c r="F50" s="2" t="s">
        <v>410</v>
      </c>
      <c r="G50" s="2" t="s">
        <v>411</v>
      </c>
      <c r="H50" s="2" t="s">
        <v>412</v>
      </c>
      <c r="I50" s="2" t="s">
        <v>413</v>
      </c>
      <c r="J50" s="2" t="s">
        <v>414</v>
      </c>
      <c r="K50" s="2" t="s">
        <v>25</v>
      </c>
      <c r="L50" s="2" t="s">
        <v>121</v>
      </c>
      <c r="M50" s="2" t="s">
        <v>121</v>
      </c>
      <c r="N50" s="2" t="s">
        <v>235</v>
      </c>
      <c r="O50" s="2" t="s">
        <v>40</v>
      </c>
      <c r="P50" s="2" t="s">
        <v>243</v>
      </c>
      <c r="Q50" s="2" t="s">
        <v>415</v>
      </c>
    </row>
    <row r="51" customFormat="false" ht="35.05" hidden="false" customHeight="false" outlineLevel="0" collapsed="false">
      <c r="A51" s="2" t="s">
        <v>416</v>
      </c>
      <c r="B51" s="2" t="n">
        <v>1</v>
      </c>
      <c r="C51" s="2" t="s">
        <v>417</v>
      </c>
      <c r="D51" s="2" t="s">
        <v>418</v>
      </c>
      <c r="E51" s="2" t="s">
        <v>46</v>
      </c>
      <c r="F51" s="2" t="s">
        <v>419</v>
      </c>
      <c r="G51" s="2" t="s">
        <v>420</v>
      </c>
      <c r="H51" s="2" t="s">
        <v>258</v>
      </c>
      <c r="I51" s="2" t="s">
        <v>259</v>
      </c>
      <c r="J51" s="2"/>
      <c r="K51" s="2" t="s">
        <v>51</v>
      </c>
      <c r="L51" s="2" t="s">
        <v>26</v>
      </c>
      <c r="M51" s="2" t="s">
        <v>26</v>
      </c>
      <c r="N51" s="2" t="s">
        <v>421</v>
      </c>
      <c r="O51" s="2" t="s">
        <v>52</v>
      </c>
      <c r="P51" s="2" t="s">
        <v>422</v>
      </c>
      <c r="Q51" s="2" t="s">
        <v>423</v>
      </c>
    </row>
    <row r="52" customFormat="false" ht="23.85" hidden="false" customHeight="false" outlineLevel="0" collapsed="false">
      <c r="A52" s="2" t="s">
        <v>424</v>
      </c>
      <c r="B52" s="2" t="n">
        <v>2</v>
      </c>
      <c r="C52" s="2" t="s">
        <v>228</v>
      </c>
      <c r="D52" s="2" t="s">
        <v>229</v>
      </c>
      <c r="E52" s="2" t="s">
        <v>34</v>
      </c>
      <c r="F52" s="2" t="s">
        <v>425</v>
      </c>
      <c r="G52" s="2" t="s">
        <v>426</v>
      </c>
      <c r="H52" s="2" t="s">
        <v>346</v>
      </c>
      <c r="I52" s="2" t="s">
        <v>347</v>
      </c>
      <c r="J52" s="2" t="s">
        <v>427</v>
      </c>
      <c r="K52" s="2" t="s">
        <v>51</v>
      </c>
      <c r="L52" s="2" t="s">
        <v>26</v>
      </c>
      <c r="M52" s="2" t="s">
        <v>26</v>
      </c>
      <c r="N52" s="2" t="s">
        <v>421</v>
      </c>
      <c r="O52" s="2" t="s">
        <v>428</v>
      </c>
      <c r="P52" s="2" t="s">
        <v>429</v>
      </c>
      <c r="Q52" s="2" t="s">
        <v>237</v>
      </c>
    </row>
    <row r="53" customFormat="false" ht="23.85" hidden="false" customHeight="false" outlineLevel="0" collapsed="false">
      <c r="A53" s="2" t="s">
        <v>430</v>
      </c>
      <c r="B53" s="2" t="n">
        <v>2</v>
      </c>
      <c r="C53" s="2" t="s">
        <v>228</v>
      </c>
      <c r="D53" s="2" t="s">
        <v>229</v>
      </c>
      <c r="E53" s="2" t="s">
        <v>89</v>
      </c>
      <c r="F53" s="2" t="s">
        <v>253</v>
      </c>
      <c r="G53" s="2" t="s">
        <v>254</v>
      </c>
      <c r="H53" s="2" t="s">
        <v>431</v>
      </c>
      <c r="I53" s="2" t="s">
        <v>432</v>
      </c>
      <c r="J53" s="2" t="s">
        <v>253</v>
      </c>
      <c r="K53" s="2" t="s">
        <v>51</v>
      </c>
      <c r="L53" s="2" t="s">
        <v>121</v>
      </c>
      <c r="M53" s="2" t="s">
        <v>26</v>
      </c>
      <c r="N53" s="2" t="s">
        <v>421</v>
      </c>
      <c r="O53" s="2" t="s">
        <v>52</v>
      </c>
      <c r="P53" s="2" t="s">
        <v>433</v>
      </c>
      <c r="Q53" s="2" t="s">
        <v>237</v>
      </c>
    </row>
    <row r="54" customFormat="false" ht="23.85" hidden="false" customHeight="false" outlineLevel="0" collapsed="false">
      <c r="A54" s="2" t="s">
        <v>434</v>
      </c>
      <c r="B54" s="2" t="n">
        <v>2</v>
      </c>
      <c r="C54" s="2" t="s">
        <v>228</v>
      </c>
      <c r="D54" s="2" t="s">
        <v>229</v>
      </c>
      <c r="E54" s="2" t="s">
        <v>46</v>
      </c>
      <c r="F54" s="2" t="s">
        <v>431</v>
      </c>
      <c r="G54" s="2" t="s">
        <v>435</v>
      </c>
      <c r="H54" s="2" t="s">
        <v>258</v>
      </c>
      <c r="I54" s="2" t="s">
        <v>259</v>
      </c>
      <c r="J54" s="2" t="s">
        <v>69</v>
      </c>
      <c r="K54" s="2" t="s">
        <v>111</v>
      </c>
      <c r="L54" s="2" t="s">
        <v>26</v>
      </c>
      <c r="M54" s="2" t="s">
        <v>26</v>
      </c>
      <c r="N54" s="2" t="s">
        <v>421</v>
      </c>
      <c r="O54" s="2" t="s">
        <v>52</v>
      </c>
      <c r="P54" s="2" t="s">
        <v>436</v>
      </c>
      <c r="Q54" s="2" t="s">
        <v>237</v>
      </c>
    </row>
    <row r="55" customFormat="false" ht="23.85" hidden="false" customHeight="false" outlineLevel="0" collapsed="false">
      <c r="A55" s="2" t="s">
        <v>437</v>
      </c>
      <c r="B55" s="2" t="n">
        <v>3</v>
      </c>
      <c r="C55" s="2" t="s">
        <v>438</v>
      </c>
      <c r="D55" s="2" t="s">
        <v>439</v>
      </c>
      <c r="E55" s="2" t="s">
        <v>20</v>
      </c>
      <c r="F55" s="2" t="s">
        <v>192</v>
      </c>
      <c r="G55" s="2" t="s">
        <v>193</v>
      </c>
      <c r="H55" s="2" t="s">
        <v>440</v>
      </c>
      <c r="I55" s="2" t="s">
        <v>441</v>
      </c>
      <c r="J55" s="2" t="s">
        <v>442</v>
      </c>
      <c r="K55" s="2" t="s">
        <v>111</v>
      </c>
      <c r="L55" s="2" t="s">
        <v>26</v>
      </c>
      <c r="M55" s="2" t="s">
        <v>26</v>
      </c>
      <c r="N55" s="2" t="s">
        <v>421</v>
      </c>
      <c r="O55" s="2" t="s">
        <v>197</v>
      </c>
      <c r="P55" s="2" t="s">
        <v>443</v>
      </c>
      <c r="Q55" s="2" t="s">
        <v>444</v>
      </c>
    </row>
    <row r="56" customFormat="false" ht="23.85" hidden="false" customHeight="false" outlineLevel="0" collapsed="false">
      <c r="A56" s="2" t="s">
        <v>445</v>
      </c>
      <c r="B56" s="2" t="n">
        <v>4</v>
      </c>
      <c r="C56" s="2" t="s">
        <v>18</v>
      </c>
      <c r="D56" s="2" t="s">
        <v>19</v>
      </c>
      <c r="E56" s="2" t="s">
        <v>46</v>
      </c>
      <c r="F56" s="2" t="s">
        <v>446</v>
      </c>
      <c r="G56" s="2" t="s">
        <v>447</v>
      </c>
      <c r="H56" s="2" t="s">
        <v>258</v>
      </c>
      <c r="I56" s="2" t="s">
        <v>259</v>
      </c>
      <c r="J56" s="2"/>
      <c r="K56" s="2" t="s">
        <v>51</v>
      </c>
      <c r="L56" s="2" t="s">
        <v>26</v>
      </c>
      <c r="M56" s="2" t="s">
        <v>26</v>
      </c>
      <c r="N56" s="2" t="s">
        <v>421</v>
      </c>
      <c r="O56" s="2" t="s">
        <v>52</v>
      </c>
      <c r="P56" s="2" t="s">
        <v>448</v>
      </c>
      <c r="Q56" s="2" t="s">
        <v>30</v>
      </c>
    </row>
    <row r="57" customFormat="false" ht="23.85" hidden="false" customHeight="false" outlineLevel="0" collapsed="false">
      <c r="A57" s="2" t="s">
        <v>449</v>
      </c>
      <c r="B57" s="2" t="n">
        <v>8</v>
      </c>
      <c r="C57" s="2" t="s">
        <v>261</v>
      </c>
      <c r="D57" s="2" t="s">
        <v>262</v>
      </c>
      <c r="E57" s="2" t="s">
        <v>46</v>
      </c>
      <c r="F57" s="2" t="s">
        <v>450</v>
      </c>
      <c r="G57" s="2" t="s">
        <v>451</v>
      </c>
      <c r="H57" s="2" t="s">
        <v>452</v>
      </c>
      <c r="I57" s="2" t="s">
        <v>453</v>
      </c>
      <c r="J57" s="2" t="s">
        <v>454</v>
      </c>
      <c r="K57" s="2" t="s">
        <v>51</v>
      </c>
      <c r="L57" s="2" t="s">
        <v>26</v>
      </c>
      <c r="M57" s="2" t="s">
        <v>26</v>
      </c>
      <c r="N57" s="2" t="s">
        <v>421</v>
      </c>
      <c r="O57" s="2" t="s">
        <v>52</v>
      </c>
      <c r="P57" s="2" t="s">
        <v>455</v>
      </c>
      <c r="Q57" s="2" t="s">
        <v>269</v>
      </c>
    </row>
    <row r="58" customFormat="false" ht="35.05" hidden="false" customHeight="false" outlineLevel="0" collapsed="false">
      <c r="A58" s="2" t="s">
        <v>456</v>
      </c>
      <c r="B58" s="2" t="n">
        <v>11</v>
      </c>
      <c r="C58" s="2" t="s">
        <v>457</v>
      </c>
      <c r="D58" s="2" t="s">
        <v>458</v>
      </c>
      <c r="E58" s="2" t="s">
        <v>58</v>
      </c>
      <c r="F58" s="2" t="s">
        <v>459</v>
      </c>
      <c r="G58" s="2" t="s">
        <v>460</v>
      </c>
      <c r="H58" s="2" t="s">
        <v>461</v>
      </c>
      <c r="I58" s="2" t="s">
        <v>462</v>
      </c>
      <c r="J58" s="2" t="s">
        <v>463</v>
      </c>
      <c r="K58" s="2" t="s">
        <v>25</v>
      </c>
      <c r="L58" s="2" t="s">
        <v>26</v>
      </c>
      <c r="M58" s="2" t="s">
        <v>26</v>
      </c>
      <c r="N58" s="2" t="s">
        <v>421</v>
      </c>
      <c r="O58" s="2" t="s">
        <v>63</v>
      </c>
      <c r="P58" s="2" t="s">
        <v>464</v>
      </c>
      <c r="Q58" s="2" t="s">
        <v>465</v>
      </c>
    </row>
    <row r="59" customFormat="false" ht="35.05" hidden="false" customHeight="false" outlineLevel="0" collapsed="false">
      <c r="A59" s="2" t="s">
        <v>466</v>
      </c>
      <c r="B59" s="2" t="n">
        <v>11</v>
      </c>
      <c r="C59" s="2" t="s">
        <v>457</v>
      </c>
      <c r="D59" s="2" t="s">
        <v>458</v>
      </c>
      <c r="E59" s="2" t="s">
        <v>34</v>
      </c>
      <c r="F59" s="2" t="s">
        <v>158</v>
      </c>
      <c r="G59" s="2" t="s">
        <v>159</v>
      </c>
      <c r="H59" s="2" t="s">
        <v>467</v>
      </c>
      <c r="I59" s="2" t="s">
        <v>468</v>
      </c>
      <c r="J59" s="2" t="s">
        <v>469</v>
      </c>
      <c r="K59" s="2" t="s">
        <v>111</v>
      </c>
      <c r="L59" s="2" t="s">
        <v>121</v>
      </c>
      <c r="M59" s="2" t="s">
        <v>26</v>
      </c>
      <c r="N59" s="2" t="s">
        <v>421</v>
      </c>
      <c r="O59" s="2" t="s">
        <v>428</v>
      </c>
      <c r="P59" s="2" t="s">
        <v>470</v>
      </c>
      <c r="Q59" s="2" t="s">
        <v>465</v>
      </c>
    </row>
    <row r="60" customFormat="false" ht="23.85" hidden="false" customHeight="false" outlineLevel="0" collapsed="false">
      <c r="A60" s="2" t="s">
        <v>471</v>
      </c>
      <c r="B60" s="2" t="n">
        <v>12</v>
      </c>
      <c r="C60" s="2" t="s">
        <v>279</v>
      </c>
      <c r="D60" s="2" t="s">
        <v>280</v>
      </c>
      <c r="E60" s="2" t="s">
        <v>20</v>
      </c>
      <c r="F60" s="2" t="s">
        <v>472</v>
      </c>
      <c r="G60" s="2" t="s">
        <v>473</v>
      </c>
      <c r="H60" s="2" t="s">
        <v>474</v>
      </c>
      <c r="I60" s="2" t="s">
        <v>475</v>
      </c>
      <c r="J60" s="2" t="s">
        <v>476</v>
      </c>
      <c r="K60" s="2" t="s">
        <v>25</v>
      </c>
      <c r="L60" s="2" t="s">
        <v>121</v>
      </c>
      <c r="M60" s="2" t="s">
        <v>26</v>
      </c>
      <c r="N60" s="2" t="s">
        <v>421</v>
      </c>
      <c r="O60" s="2" t="s">
        <v>28</v>
      </c>
      <c r="P60" s="2" t="s">
        <v>477</v>
      </c>
      <c r="Q60" s="2" t="s">
        <v>282</v>
      </c>
    </row>
    <row r="61" customFormat="false" ht="23.85" hidden="false" customHeight="false" outlineLevel="0" collapsed="false">
      <c r="A61" s="2" t="s">
        <v>478</v>
      </c>
      <c r="B61" s="2" t="n">
        <v>12</v>
      </c>
      <c r="C61" s="2" t="s">
        <v>279</v>
      </c>
      <c r="D61" s="2" t="s">
        <v>280</v>
      </c>
      <c r="E61" s="2" t="s">
        <v>34</v>
      </c>
      <c r="F61" s="2" t="s">
        <v>479</v>
      </c>
      <c r="G61" s="2" t="s">
        <v>480</v>
      </c>
      <c r="H61" s="2" t="s">
        <v>481</v>
      </c>
      <c r="I61" s="2" t="s">
        <v>482</v>
      </c>
      <c r="J61" s="2" t="s">
        <v>483</v>
      </c>
      <c r="K61" s="2" t="s">
        <v>25</v>
      </c>
      <c r="L61" s="2" t="s">
        <v>26</v>
      </c>
      <c r="M61" s="2" t="s">
        <v>26</v>
      </c>
      <c r="N61" s="2" t="s">
        <v>421</v>
      </c>
      <c r="O61" s="2" t="s">
        <v>428</v>
      </c>
      <c r="P61" s="2" t="s">
        <v>484</v>
      </c>
      <c r="Q61" s="2" t="s">
        <v>282</v>
      </c>
    </row>
    <row r="62" customFormat="false" ht="46.25" hidden="false" customHeight="false" outlineLevel="0" collapsed="false">
      <c r="A62" s="2" t="s">
        <v>485</v>
      </c>
      <c r="B62" s="2" t="n">
        <v>13</v>
      </c>
      <c r="C62" s="2" t="s">
        <v>87</v>
      </c>
      <c r="D62" s="2" t="s">
        <v>88</v>
      </c>
      <c r="E62" s="2" t="s">
        <v>34</v>
      </c>
      <c r="F62" s="2" t="s">
        <v>35</v>
      </c>
      <c r="G62" s="2" t="s">
        <v>36</v>
      </c>
      <c r="H62" s="2" t="s">
        <v>158</v>
      </c>
      <c r="I62" s="2" t="s">
        <v>159</v>
      </c>
      <c r="J62" s="2" t="s">
        <v>35</v>
      </c>
      <c r="K62" s="2" t="s">
        <v>51</v>
      </c>
      <c r="L62" s="2" t="s">
        <v>121</v>
      </c>
      <c r="M62" s="2" t="s">
        <v>26</v>
      </c>
      <c r="N62" s="2" t="s">
        <v>421</v>
      </c>
      <c r="O62" s="2" t="s">
        <v>428</v>
      </c>
      <c r="P62" s="2" t="s">
        <v>486</v>
      </c>
      <c r="Q62" s="2" t="s">
        <v>96</v>
      </c>
    </row>
    <row r="63" customFormat="false" ht="46.25" hidden="false" customHeight="false" outlineLevel="0" collapsed="false">
      <c r="A63" s="2" t="s">
        <v>487</v>
      </c>
      <c r="B63" s="2" t="n">
        <v>14</v>
      </c>
      <c r="C63" s="2" t="s">
        <v>488</v>
      </c>
      <c r="D63" s="2" t="s">
        <v>211</v>
      </c>
      <c r="E63" s="2" t="s">
        <v>58</v>
      </c>
      <c r="F63" s="2" t="s">
        <v>230</v>
      </c>
      <c r="G63" s="2" t="s">
        <v>231</v>
      </c>
      <c r="H63" s="2" t="s">
        <v>489</v>
      </c>
      <c r="I63" s="2" t="s">
        <v>490</v>
      </c>
      <c r="J63" s="2" t="s">
        <v>491</v>
      </c>
      <c r="K63" s="2" t="s">
        <v>111</v>
      </c>
      <c r="L63" s="2" t="s">
        <v>26</v>
      </c>
      <c r="M63" s="2" t="s">
        <v>26</v>
      </c>
      <c r="N63" s="2" t="s">
        <v>421</v>
      </c>
      <c r="O63" s="2" t="s">
        <v>63</v>
      </c>
      <c r="P63" s="2" t="s">
        <v>492</v>
      </c>
      <c r="Q63" s="2" t="s">
        <v>493</v>
      </c>
    </row>
    <row r="64" customFormat="false" ht="46.25" hidden="false" customHeight="false" outlineLevel="0" collapsed="false">
      <c r="A64" s="2" t="s">
        <v>494</v>
      </c>
      <c r="B64" s="2" t="n">
        <v>14</v>
      </c>
      <c r="C64" s="2" t="s">
        <v>488</v>
      </c>
      <c r="D64" s="2" t="s">
        <v>211</v>
      </c>
      <c r="E64" s="2" t="s">
        <v>20</v>
      </c>
      <c r="F64" s="2" t="s">
        <v>495</v>
      </c>
      <c r="G64" s="2" t="s">
        <v>496</v>
      </c>
      <c r="H64" s="2" t="s">
        <v>497</v>
      </c>
      <c r="I64" s="2" t="s">
        <v>498</v>
      </c>
      <c r="J64" s="2" t="s">
        <v>499</v>
      </c>
      <c r="K64" s="2" t="s">
        <v>111</v>
      </c>
      <c r="L64" s="2" t="s">
        <v>121</v>
      </c>
      <c r="M64" s="2" t="s">
        <v>26</v>
      </c>
      <c r="N64" s="2" t="s">
        <v>421</v>
      </c>
      <c r="O64" s="2" t="s">
        <v>500</v>
      </c>
      <c r="P64" s="2" t="s">
        <v>501</v>
      </c>
      <c r="Q64" s="2" t="s">
        <v>493</v>
      </c>
    </row>
    <row r="65" customFormat="false" ht="46.25" hidden="false" customHeight="false" outlineLevel="0" collapsed="false">
      <c r="A65" s="2" t="s">
        <v>502</v>
      </c>
      <c r="B65" s="2" t="n">
        <v>15</v>
      </c>
      <c r="C65" s="2" t="s">
        <v>503</v>
      </c>
      <c r="D65" s="2" t="s">
        <v>80</v>
      </c>
      <c r="E65" s="2" t="s">
        <v>58</v>
      </c>
      <c r="F65" s="2" t="s">
        <v>504</v>
      </c>
      <c r="G65" s="2" t="s">
        <v>505</v>
      </c>
      <c r="H65" s="2" t="s">
        <v>506</v>
      </c>
      <c r="I65" s="2" t="s">
        <v>507</v>
      </c>
      <c r="J65" s="2" t="s">
        <v>508</v>
      </c>
      <c r="K65" s="2" t="s">
        <v>25</v>
      </c>
      <c r="L65" s="2" t="s">
        <v>121</v>
      </c>
      <c r="M65" s="2" t="s">
        <v>26</v>
      </c>
      <c r="N65" s="2" t="s">
        <v>421</v>
      </c>
      <c r="O65" s="2" t="s">
        <v>132</v>
      </c>
      <c r="P65" s="2" t="s">
        <v>509</v>
      </c>
      <c r="Q65" s="2" t="s">
        <v>510</v>
      </c>
    </row>
    <row r="66" customFormat="false" ht="46.25" hidden="false" customHeight="false" outlineLevel="0" collapsed="false">
      <c r="A66" s="2" t="s">
        <v>511</v>
      </c>
      <c r="B66" s="2" t="n">
        <v>15</v>
      </c>
      <c r="C66" s="2" t="s">
        <v>503</v>
      </c>
      <c r="D66" s="2" t="s">
        <v>80</v>
      </c>
      <c r="E66" s="2" t="s">
        <v>46</v>
      </c>
      <c r="F66" s="2" t="s">
        <v>69</v>
      </c>
      <c r="G66" s="2" t="s">
        <v>164</v>
      </c>
      <c r="H66" s="2" t="s">
        <v>512</v>
      </c>
      <c r="I66" s="2" t="s">
        <v>513</v>
      </c>
      <c r="J66" s="2" t="s">
        <v>514</v>
      </c>
      <c r="K66" s="2" t="s">
        <v>51</v>
      </c>
      <c r="L66" s="2" t="s">
        <v>26</v>
      </c>
      <c r="M66" s="2" t="s">
        <v>26</v>
      </c>
      <c r="N66" s="2" t="s">
        <v>421</v>
      </c>
      <c r="O66" s="2" t="s">
        <v>52</v>
      </c>
      <c r="P66" s="2" t="s">
        <v>515</v>
      </c>
      <c r="Q66" s="2" t="s">
        <v>510</v>
      </c>
    </row>
    <row r="67" customFormat="false" ht="23.85" hidden="false" customHeight="false" outlineLevel="0" collapsed="false">
      <c r="A67" s="2" t="s">
        <v>516</v>
      </c>
      <c r="B67" s="2" t="n">
        <v>16</v>
      </c>
      <c r="C67" s="2" t="s">
        <v>517</v>
      </c>
      <c r="D67" s="2" t="s">
        <v>409</v>
      </c>
      <c r="E67" s="2" t="s">
        <v>46</v>
      </c>
      <c r="F67" s="2" t="s">
        <v>258</v>
      </c>
      <c r="G67" s="2" t="s">
        <v>259</v>
      </c>
      <c r="H67" s="2" t="s">
        <v>518</v>
      </c>
      <c r="I67" s="2" t="s">
        <v>519</v>
      </c>
      <c r="J67" s="2" t="s">
        <v>520</v>
      </c>
      <c r="K67" s="2" t="s">
        <v>51</v>
      </c>
      <c r="L67" s="2" t="s">
        <v>121</v>
      </c>
      <c r="M67" s="2" t="s">
        <v>26</v>
      </c>
      <c r="N67" s="2" t="s">
        <v>421</v>
      </c>
      <c r="O67" s="2" t="s">
        <v>52</v>
      </c>
      <c r="P67" s="2" t="s">
        <v>521</v>
      </c>
      <c r="Q67" s="2" t="s">
        <v>522</v>
      </c>
    </row>
    <row r="68" customFormat="false" ht="35.05" hidden="false" customHeight="false" outlineLevel="0" collapsed="false">
      <c r="A68" s="2" t="s">
        <v>523</v>
      </c>
      <c r="B68" s="2" t="n">
        <v>19</v>
      </c>
      <c r="C68" s="2" t="s">
        <v>524</v>
      </c>
      <c r="D68" s="2" t="s">
        <v>525</v>
      </c>
      <c r="E68" s="2" t="s">
        <v>58</v>
      </c>
      <c r="F68" s="2" t="s">
        <v>526</v>
      </c>
      <c r="G68" s="2" t="s">
        <v>527</v>
      </c>
      <c r="H68" s="2" t="s">
        <v>528</v>
      </c>
      <c r="I68" s="2" t="s">
        <v>529</v>
      </c>
      <c r="J68" s="2" t="s">
        <v>530</v>
      </c>
      <c r="K68" s="2" t="s">
        <v>187</v>
      </c>
      <c r="L68" s="2" t="s">
        <v>121</v>
      </c>
      <c r="M68" s="2" t="s">
        <v>26</v>
      </c>
      <c r="N68" s="2" t="s">
        <v>421</v>
      </c>
      <c r="O68" s="2" t="s">
        <v>63</v>
      </c>
      <c r="P68" s="2" t="s">
        <v>531</v>
      </c>
      <c r="Q68" s="2" t="s">
        <v>532</v>
      </c>
    </row>
    <row r="69" customFormat="false" ht="35.05" hidden="false" customHeight="false" outlineLevel="0" collapsed="false">
      <c r="A69" s="2" t="s">
        <v>533</v>
      </c>
      <c r="B69" s="2" t="n">
        <v>19</v>
      </c>
      <c r="C69" s="2" t="s">
        <v>524</v>
      </c>
      <c r="D69" s="2" t="s">
        <v>525</v>
      </c>
      <c r="E69" s="2" t="s">
        <v>20</v>
      </c>
      <c r="F69" s="2" t="s">
        <v>534</v>
      </c>
      <c r="G69" s="2" t="s">
        <v>535</v>
      </c>
      <c r="H69" s="2" t="s">
        <v>536</v>
      </c>
      <c r="I69" s="2" t="s">
        <v>537</v>
      </c>
      <c r="J69" s="2" t="s">
        <v>538</v>
      </c>
      <c r="K69" s="2" t="s">
        <v>51</v>
      </c>
      <c r="L69" s="2" t="s">
        <v>121</v>
      </c>
      <c r="M69" s="2" t="s">
        <v>26</v>
      </c>
      <c r="N69" s="2" t="s">
        <v>421</v>
      </c>
      <c r="O69" s="2" t="s">
        <v>500</v>
      </c>
      <c r="P69" s="2" t="s">
        <v>539</v>
      </c>
      <c r="Q69" s="2" t="s">
        <v>532</v>
      </c>
    </row>
    <row r="70" customFormat="false" ht="35.05" hidden="false" customHeight="false" outlineLevel="0" collapsed="false">
      <c r="A70" s="2" t="s">
        <v>540</v>
      </c>
      <c r="B70" s="2" t="n">
        <v>19</v>
      </c>
      <c r="C70" s="2" t="s">
        <v>524</v>
      </c>
      <c r="D70" s="2" t="s">
        <v>525</v>
      </c>
      <c r="E70" s="2" t="s">
        <v>34</v>
      </c>
      <c r="F70" s="2" t="s">
        <v>541</v>
      </c>
      <c r="G70" s="2" t="s">
        <v>542</v>
      </c>
      <c r="H70" s="2" t="s">
        <v>543</v>
      </c>
      <c r="I70" s="2" t="s">
        <v>544</v>
      </c>
      <c r="J70" s="2" t="s">
        <v>545</v>
      </c>
      <c r="K70" s="2" t="s">
        <v>187</v>
      </c>
      <c r="L70" s="2" t="s">
        <v>121</v>
      </c>
      <c r="M70" s="2" t="s">
        <v>26</v>
      </c>
      <c r="N70" s="2" t="s">
        <v>421</v>
      </c>
      <c r="O70" s="2" t="s">
        <v>428</v>
      </c>
      <c r="P70" s="2" t="s">
        <v>546</v>
      </c>
      <c r="Q70" s="2" t="s">
        <v>532</v>
      </c>
    </row>
    <row r="71" customFormat="false" ht="23.85" hidden="false" customHeight="false" outlineLevel="0" collapsed="false">
      <c r="A71" s="2" t="s">
        <v>547</v>
      </c>
      <c r="B71" s="2" t="n">
        <v>20</v>
      </c>
      <c r="C71" s="2" t="s">
        <v>32</v>
      </c>
      <c r="D71" s="2" t="s">
        <v>33</v>
      </c>
      <c r="E71" s="2" t="s">
        <v>20</v>
      </c>
      <c r="F71" s="2" t="s">
        <v>548</v>
      </c>
      <c r="G71" s="2" t="s">
        <v>549</v>
      </c>
      <c r="H71" s="2" t="s">
        <v>550</v>
      </c>
      <c r="I71" s="2" t="s">
        <v>551</v>
      </c>
      <c r="J71" s="2" t="s">
        <v>552</v>
      </c>
      <c r="K71" s="2" t="s">
        <v>25</v>
      </c>
      <c r="L71" s="2" t="s">
        <v>121</v>
      </c>
      <c r="M71" s="2" t="s">
        <v>26</v>
      </c>
      <c r="N71" s="2" t="s">
        <v>421</v>
      </c>
      <c r="O71" s="2" t="s">
        <v>500</v>
      </c>
      <c r="P71" s="2" t="s">
        <v>553</v>
      </c>
      <c r="Q71" s="2" t="s">
        <v>42</v>
      </c>
    </row>
    <row r="72" customFormat="false" ht="35.05" hidden="false" customHeight="false" outlineLevel="0" collapsed="false">
      <c r="A72" s="2" t="s">
        <v>554</v>
      </c>
      <c r="B72" s="2" t="n">
        <v>21</v>
      </c>
      <c r="C72" s="2" t="s">
        <v>555</v>
      </c>
      <c r="D72" s="2" t="s">
        <v>556</v>
      </c>
      <c r="E72" s="2" t="s">
        <v>34</v>
      </c>
      <c r="F72" s="2" t="s">
        <v>543</v>
      </c>
      <c r="G72" s="2" t="s">
        <v>544</v>
      </c>
      <c r="H72" s="2" t="s">
        <v>557</v>
      </c>
      <c r="I72" s="2" t="s">
        <v>558</v>
      </c>
      <c r="J72" s="2" t="s">
        <v>559</v>
      </c>
      <c r="K72" s="2" t="s">
        <v>111</v>
      </c>
      <c r="L72" s="2" t="s">
        <v>121</v>
      </c>
      <c r="M72" s="2" t="s">
        <v>26</v>
      </c>
      <c r="N72" s="2" t="s">
        <v>421</v>
      </c>
      <c r="O72" s="2" t="s">
        <v>40</v>
      </c>
      <c r="P72" s="2" t="s">
        <v>560</v>
      </c>
      <c r="Q72" s="2" t="s">
        <v>561</v>
      </c>
    </row>
    <row r="73" customFormat="false" ht="35.05" hidden="false" customHeight="false" outlineLevel="0" collapsed="false">
      <c r="A73" s="2" t="s">
        <v>562</v>
      </c>
      <c r="B73" s="2" t="n">
        <v>21</v>
      </c>
      <c r="C73" s="2" t="s">
        <v>555</v>
      </c>
      <c r="D73" s="2" t="s">
        <v>556</v>
      </c>
      <c r="E73" s="2" t="s">
        <v>89</v>
      </c>
      <c r="F73" s="2" t="s">
        <v>47</v>
      </c>
      <c r="G73" s="2" t="s">
        <v>48</v>
      </c>
      <c r="H73" s="2" t="s">
        <v>563</v>
      </c>
      <c r="I73" s="2" t="s">
        <v>564</v>
      </c>
      <c r="J73" s="2" t="s">
        <v>565</v>
      </c>
      <c r="K73" s="2" t="s">
        <v>25</v>
      </c>
      <c r="L73" s="2" t="s">
        <v>121</v>
      </c>
      <c r="M73" s="2" t="s">
        <v>26</v>
      </c>
      <c r="N73" s="2" t="s">
        <v>421</v>
      </c>
      <c r="O73" s="2" t="s">
        <v>52</v>
      </c>
      <c r="P73" s="2" t="s">
        <v>566</v>
      </c>
      <c r="Q73" s="2" t="s">
        <v>561</v>
      </c>
    </row>
    <row r="74" customFormat="false" ht="35.05" hidden="false" customHeight="false" outlineLevel="0" collapsed="false">
      <c r="A74" s="2" t="s">
        <v>567</v>
      </c>
      <c r="B74" s="2" t="n">
        <v>21</v>
      </c>
      <c r="C74" s="2" t="s">
        <v>555</v>
      </c>
      <c r="D74" s="2" t="s">
        <v>556</v>
      </c>
      <c r="E74" s="2" t="s">
        <v>46</v>
      </c>
      <c r="F74" s="2" t="s">
        <v>563</v>
      </c>
      <c r="G74" s="2" t="s">
        <v>564</v>
      </c>
      <c r="H74" s="2" t="s">
        <v>47</v>
      </c>
      <c r="I74" s="2" t="s">
        <v>48</v>
      </c>
      <c r="J74" s="2" t="s">
        <v>568</v>
      </c>
      <c r="K74" s="2" t="s">
        <v>25</v>
      </c>
      <c r="L74" s="2" t="s">
        <v>26</v>
      </c>
      <c r="M74" s="2" t="s">
        <v>26</v>
      </c>
      <c r="N74" s="2" t="s">
        <v>421</v>
      </c>
      <c r="O74" s="2" t="s">
        <v>52</v>
      </c>
      <c r="P74" s="2" t="s">
        <v>569</v>
      </c>
      <c r="Q74" s="2" t="s">
        <v>561</v>
      </c>
    </row>
    <row r="75" customFormat="false" ht="23.85" hidden="false" customHeight="false" outlineLevel="0" collapsed="false">
      <c r="A75" s="2" t="s">
        <v>570</v>
      </c>
      <c r="B75" s="2" t="n">
        <v>25</v>
      </c>
      <c r="C75" s="2" t="s">
        <v>571</v>
      </c>
      <c r="D75" s="2" t="s">
        <v>572</v>
      </c>
      <c r="E75" s="2" t="s">
        <v>34</v>
      </c>
      <c r="F75" s="2" t="s">
        <v>573</v>
      </c>
      <c r="G75" s="2" t="s">
        <v>574</v>
      </c>
      <c r="H75" s="2" t="s">
        <v>575</v>
      </c>
      <c r="I75" s="2" t="s">
        <v>576</v>
      </c>
      <c r="J75" s="2" t="s">
        <v>577</v>
      </c>
      <c r="K75" s="2" t="s">
        <v>187</v>
      </c>
      <c r="L75" s="2" t="s">
        <v>121</v>
      </c>
      <c r="M75" s="2" t="s">
        <v>26</v>
      </c>
      <c r="N75" s="2" t="s">
        <v>421</v>
      </c>
      <c r="O75" s="2" t="s">
        <v>428</v>
      </c>
      <c r="P75" s="2" t="s">
        <v>578</v>
      </c>
      <c r="Q75" s="2" t="s">
        <v>579</v>
      </c>
    </row>
    <row r="76" customFormat="false" ht="23.85" hidden="false" customHeight="false" outlineLevel="0" collapsed="false">
      <c r="A76" s="2" t="s">
        <v>580</v>
      </c>
      <c r="B76" s="2" t="n">
        <v>25</v>
      </c>
      <c r="C76" s="2" t="s">
        <v>571</v>
      </c>
      <c r="D76" s="2" t="s">
        <v>572</v>
      </c>
      <c r="E76" s="2" t="s">
        <v>89</v>
      </c>
      <c r="F76" s="2" t="s">
        <v>581</v>
      </c>
      <c r="G76" s="2" t="s">
        <v>582</v>
      </c>
      <c r="H76" s="2" t="s">
        <v>583</v>
      </c>
      <c r="I76" s="2" t="s">
        <v>584</v>
      </c>
      <c r="J76" s="2" t="s">
        <v>585</v>
      </c>
      <c r="K76" s="2" t="s">
        <v>25</v>
      </c>
      <c r="L76" s="2" t="s">
        <v>121</v>
      </c>
      <c r="M76" s="2" t="s">
        <v>26</v>
      </c>
      <c r="N76" s="2" t="s">
        <v>421</v>
      </c>
      <c r="O76" s="2" t="s">
        <v>52</v>
      </c>
      <c r="P76" s="2" t="s">
        <v>586</v>
      </c>
      <c r="Q76" s="2" t="s">
        <v>579</v>
      </c>
    </row>
    <row r="77" customFormat="false" ht="23.85" hidden="false" customHeight="false" outlineLevel="0" collapsed="false">
      <c r="A77" s="2" t="s">
        <v>587</v>
      </c>
      <c r="B77" s="2" t="n">
        <v>26</v>
      </c>
      <c r="C77" s="2" t="s">
        <v>294</v>
      </c>
      <c r="D77" s="2" t="s">
        <v>295</v>
      </c>
      <c r="E77" s="2" t="s">
        <v>89</v>
      </c>
      <c r="F77" s="2" t="s">
        <v>588</v>
      </c>
      <c r="G77" s="2" t="s">
        <v>589</v>
      </c>
      <c r="H77" s="2" t="s">
        <v>590</v>
      </c>
      <c r="I77" s="2" t="s">
        <v>591</v>
      </c>
      <c r="J77" s="2" t="s">
        <v>592</v>
      </c>
      <c r="K77" s="2" t="s">
        <v>51</v>
      </c>
      <c r="L77" s="2" t="s">
        <v>26</v>
      </c>
      <c r="M77" s="2" t="s">
        <v>26</v>
      </c>
      <c r="N77" s="2" t="s">
        <v>421</v>
      </c>
      <c r="O77" s="2" t="s">
        <v>52</v>
      </c>
      <c r="P77" s="2" t="s">
        <v>593</v>
      </c>
      <c r="Q77" s="2" t="s">
        <v>302</v>
      </c>
    </row>
    <row r="78" customFormat="false" ht="23.85" hidden="false" customHeight="false" outlineLevel="0" collapsed="false">
      <c r="A78" s="2" t="s">
        <v>594</v>
      </c>
      <c r="B78" s="2" t="n">
        <v>26</v>
      </c>
      <c r="C78" s="2" t="s">
        <v>294</v>
      </c>
      <c r="D78" s="2" t="s">
        <v>295</v>
      </c>
      <c r="E78" s="2" t="s">
        <v>46</v>
      </c>
      <c r="F78" s="2" t="s">
        <v>590</v>
      </c>
      <c r="G78" s="2" t="s">
        <v>591</v>
      </c>
      <c r="H78" s="2" t="s">
        <v>595</v>
      </c>
      <c r="I78" s="2" t="s">
        <v>596</v>
      </c>
      <c r="J78" s="2" t="s">
        <v>258</v>
      </c>
      <c r="K78" s="2" t="s">
        <v>51</v>
      </c>
      <c r="L78" s="2" t="s">
        <v>26</v>
      </c>
      <c r="M78" s="2" t="s">
        <v>26</v>
      </c>
      <c r="N78" s="2" t="s">
        <v>421</v>
      </c>
      <c r="O78" s="2" t="s">
        <v>52</v>
      </c>
      <c r="P78" s="2" t="s">
        <v>597</v>
      </c>
      <c r="Q78" s="2" t="s">
        <v>302</v>
      </c>
    </row>
    <row r="79" customFormat="false" ht="35.05" hidden="false" customHeight="false" outlineLevel="0" collapsed="false">
      <c r="A79" s="2" t="s">
        <v>598</v>
      </c>
      <c r="B79" s="2" t="n">
        <v>27</v>
      </c>
      <c r="C79" s="2" t="s">
        <v>599</v>
      </c>
      <c r="D79" s="2" t="s">
        <v>600</v>
      </c>
      <c r="E79" s="2" t="s">
        <v>20</v>
      </c>
      <c r="F79" s="2" t="s">
        <v>601</v>
      </c>
      <c r="G79" s="2" t="s">
        <v>602</v>
      </c>
      <c r="H79" s="2" t="s">
        <v>603</v>
      </c>
      <c r="I79" s="2" t="s">
        <v>604</v>
      </c>
      <c r="J79" s="2" t="s">
        <v>605</v>
      </c>
      <c r="K79" s="2" t="s">
        <v>25</v>
      </c>
      <c r="L79" s="2" t="s">
        <v>26</v>
      </c>
      <c r="M79" s="2" t="s">
        <v>26</v>
      </c>
      <c r="N79" s="2" t="s">
        <v>421</v>
      </c>
      <c r="O79" s="2" t="s">
        <v>500</v>
      </c>
      <c r="P79" s="2" t="s">
        <v>606</v>
      </c>
      <c r="Q79" s="2" t="s">
        <v>607</v>
      </c>
    </row>
    <row r="80" customFormat="false" ht="35.05" hidden="false" customHeight="false" outlineLevel="0" collapsed="false">
      <c r="A80" s="2" t="s">
        <v>608</v>
      </c>
      <c r="B80" s="2" t="n">
        <v>27</v>
      </c>
      <c r="C80" s="2" t="s">
        <v>599</v>
      </c>
      <c r="D80" s="2" t="s">
        <v>600</v>
      </c>
      <c r="E80" s="2" t="s">
        <v>46</v>
      </c>
      <c r="F80" s="2" t="s">
        <v>609</v>
      </c>
      <c r="G80" s="2" t="s">
        <v>610</v>
      </c>
      <c r="H80" s="2" t="s">
        <v>611</v>
      </c>
      <c r="I80" s="2" t="s">
        <v>612</v>
      </c>
      <c r="J80" s="2" t="s">
        <v>69</v>
      </c>
      <c r="K80" s="2" t="s">
        <v>51</v>
      </c>
      <c r="L80" s="2" t="s">
        <v>26</v>
      </c>
      <c r="M80" s="2" t="s">
        <v>26</v>
      </c>
      <c r="N80" s="2" t="s">
        <v>421</v>
      </c>
      <c r="O80" s="2" t="s">
        <v>52</v>
      </c>
      <c r="P80" s="2" t="s">
        <v>613</v>
      </c>
      <c r="Q80" s="2" t="s">
        <v>607</v>
      </c>
    </row>
    <row r="81" customFormat="false" ht="23.85" hidden="false" customHeight="false" outlineLevel="0" collapsed="false">
      <c r="A81" s="2" t="s">
        <v>614</v>
      </c>
      <c r="B81" s="2" t="n">
        <v>28</v>
      </c>
      <c r="C81" s="2" t="s">
        <v>615</v>
      </c>
      <c r="D81" s="2" t="s">
        <v>525</v>
      </c>
      <c r="E81" s="2" t="s">
        <v>58</v>
      </c>
      <c r="F81" s="2" t="s">
        <v>616</v>
      </c>
      <c r="G81" s="2" t="s">
        <v>617</v>
      </c>
      <c r="H81" s="2" t="s">
        <v>618</v>
      </c>
      <c r="I81" s="2" t="s">
        <v>619</v>
      </c>
      <c r="J81" s="2" t="s">
        <v>620</v>
      </c>
      <c r="K81" s="2" t="s">
        <v>111</v>
      </c>
      <c r="L81" s="2" t="s">
        <v>121</v>
      </c>
      <c r="M81" s="2" t="s">
        <v>26</v>
      </c>
      <c r="N81" s="2" t="s">
        <v>421</v>
      </c>
      <c r="O81" s="2" t="s">
        <v>63</v>
      </c>
      <c r="P81" s="2" t="s">
        <v>621</v>
      </c>
      <c r="Q81" s="2" t="s">
        <v>622</v>
      </c>
    </row>
    <row r="82" customFormat="false" ht="23.85" hidden="false" customHeight="false" outlineLevel="0" collapsed="false">
      <c r="A82" s="2" t="s">
        <v>623</v>
      </c>
      <c r="B82" s="2" t="n">
        <v>30</v>
      </c>
      <c r="C82" s="2" t="s">
        <v>624</v>
      </c>
      <c r="D82" s="2" t="s">
        <v>625</v>
      </c>
      <c r="E82" s="2" t="s">
        <v>46</v>
      </c>
      <c r="F82" s="2" t="s">
        <v>258</v>
      </c>
      <c r="G82" s="2" t="s">
        <v>259</v>
      </c>
      <c r="H82" s="2" t="s">
        <v>626</v>
      </c>
      <c r="I82" s="2" t="s">
        <v>627</v>
      </c>
      <c r="J82" s="2" t="s">
        <v>628</v>
      </c>
      <c r="K82" s="2" t="s">
        <v>51</v>
      </c>
      <c r="L82" s="2" t="s">
        <v>121</v>
      </c>
      <c r="M82" s="2" t="s">
        <v>26</v>
      </c>
      <c r="N82" s="2" t="s">
        <v>421</v>
      </c>
      <c r="O82" s="2" t="s">
        <v>52</v>
      </c>
      <c r="P82" s="2" t="s">
        <v>629</v>
      </c>
      <c r="Q82" s="2" t="s">
        <v>630</v>
      </c>
    </row>
    <row r="83" customFormat="false" ht="23.85" hidden="false" customHeight="false" outlineLevel="0" collapsed="false">
      <c r="A83" s="2" t="s">
        <v>631</v>
      </c>
      <c r="B83" s="2" t="n">
        <v>31</v>
      </c>
      <c r="C83" s="2" t="s">
        <v>98</v>
      </c>
      <c r="D83" s="2" t="s">
        <v>99</v>
      </c>
      <c r="E83" s="2" t="s">
        <v>58</v>
      </c>
      <c r="F83" s="2" t="s">
        <v>632</v>
      </c>
      <c r="G83" s="2" t="s">
        <v>633</v>
      </c>
      <c r="H83" s="2" t="s">
        <v>634</v>
      </c>
      <c r="I83" s="2" t="s">
        <v>635</v>
      </c>
      <c r="J83" s="2" t="s">
        <v>636</v>
      </c>
      <c r="K83" s="2" t="s">
        <v>111</v>
      </c>
      <c r="L83" s="2" t="s">
        <v>26</v>
      </c>
      <c r="M83" s="2" t="s">
        <v>26</v>
      </c>
      <c r="N83" s="2" t="s">
        <v>421</v>
      </c>
      <c r="O83" s="2" t="s">
        <v>63</v>
      </c>
      <c r="P83" s="2" t="s">
        <v>637</v>
      </c>
      <c r="Q83" s="2" t="s">
        <v>104</v>
      </c>
    </row>
    <row r="84" customFormat="false" ht="46.25" hidden="false" customHeight="false" outlineLevel="0" collapsed="false">
      <c r="A84" s="2" t="s">
        <v>638</v>
      </c>
      <c r="B84" s="2" t="n">
        <v>32</v>
      </c>
      <c r="C84" s="2" t="s">
        <v>639</v>
      </c>
      <c r="D84" s="2" t="s">
        <v>640</v>
      </c>
      <c r="E84" s="2" t="s">
        <v>58</v>
      </c>
      <c r="F84" s="2" t="s">
        <v>641</v>
      </c>
      <c r="G84" s="2" t="s">
        <v>642</v>
      </c>
      <c r="H84" s="2" t="s">
        <v>506</v>
      </c>
      <c r="I84" s="2" t="s">
        <v>507</v>
      </c>
      <c r="J84" s="2" t="s">
        <v>643</v>
      </c>
      <c r="K84" s="2" t="s">
        <v>111</v>
      </c>
      <c r="L84" s="2" t="s">
        <v>121</v>
      </c>
      <c r="M84" s="2" t="s">
        <v>26</v>
      </c>
      <c r="N84" s="2" t="s">
        <v>421</v>
      </c>
      <c r="O84" s="2" t="s">
        <v>132</v>
      </c>
      <c r="P84" s="2" t="s">
        <v>644</v>
      </c>
      <c r="Q84" s="2" t="s">
        <v>645</v>
      </c>
    </row>
    <row r="85" customFormat="false" ht="46.25" hidden="false" customHeight="false" outlineLevel="0" collapsed="false">
      <c r="A85" s="2" t="s">
        <v>646</v>
      </c>
      <c r="B85" s="2" t="n">
        <v>32</v>
      </c>
      <c r="C85" s="2" t="s">
        <v>639</v>
      </c>
      <c r="D85" s="2" t="s">
        <v>640</v>
      </c>
      <c r="E85" s="2" t="s">
        <v>20</v>
      </c>
      <c r="F85" s="2" t="s">
        <v>271</v>
      </c>
      <c r="G85" s="2" t="s">
        <v>272</v>
      </c>
      <c r="H85" s="2" t="s">
        <v>647</v>
      </c>
      <c r="I85" s="2" t="s">
        <v>648</v>
      </c>
      <c r="J85" s="2" t="s">
        <v>649</v>
      </c>
      <c r="K85" s="2" t="s">
        <v>51</v>
      </c>
      <c r="L85" s="2" t="s">
        <v>26</v>
      </c>
      <c r="M85" s="2" t="s">
        <v>26</v>
      </c>
      <c r="N85" s="2" t="s">
        <v>421</v>
      </c>
      <c r="O85" s="2" t="s">
        <v>500</v>
      </c>
      <c r="P85" s="2" t="s">
        <v>650</v>
      </c>
      <c r="Q85" s="2" t="s">
        <v>645</v>
      </c>
    </row>
    <row r="86" customFormat="false" ht="46.25" hidden="false" customHeight="false" outlineLevel="0" collapsed="false">
      <c r="A86" s="2" t="s">
        <v>651</v>
      </c>
      <c r="B86" s="2" t="n">
        <v>32</v>
      </c>
      <c r="C86" s="2" t="s">
        <v>639</v>
      </c>
      <c r="D86" s="2" t="s">
        <v>640</v>
      </c>
      <c r="E86" s="2" t="s">
        <v>46</v>
      </c>
      <c r="F86" s="2" t="s">
        <v>220</v>
      </c>
      <c r="G86" s="2" t="s">
        <v>221</v>
      </c>
      <c r="H86" s="2" t="s">
        <v>69</v>
      </c>
      <c r="I86" s="2" t="s">
        <v>255</v>
      </c>
      <c r="J86" s="2" t="s">
        <v>652</v>
      </c>
      <c r="K86" s="2" t="s">
        <v>51</v>
      </c>
      <c r="L86" s="2" t="s">
        <v>26</v>
      </c>
      <c r="M86" s="2" t="s">
        <v>26</v>
      </c>
      <c r="N86" s="2" t="s">
        <v>421</v>
      </c>
      <c r="O86" s="2" t="s">
        <v>52</v>
      </c>
      <c r="P86" s="2" t="s">
        <v>653</v>
      </c>
      <c r="Q86" s="2" t="s">
        <v>645</v>
      </c>
    </row>
    <row r="87" customFormat="false" ht="35.05" hidden="false" customHeight="false" outlineLevel="0" collapsed="false">
      <c r="A87" s="2" t="s">
        <v>654</v>
      </c>
      <c r="B87" s="2" t="n">
        <v>34</v>
      </c>
      <c r="C87" s="2" t="s">
        <v>655</v>
      </c>
      <c r="D87" s="2" t="s">
        <v>656</v>
      </c>
      <c r="E87" s="2" t="s">
        <v>89</v>
      </c>
      <c r="F87" s="2" t="s">
        <v>657</v>
      </c>
      <c r="G87" s="2" t="s">
        <v>658</v>
      </c>
      <c r="H87" s="2" t="s">
        <v>659</v>
      </c>
      <c r="I87" s="2" t="s">
        <v>660</v>
      </c>
      <c r="J87" s="2" t="s">
        <v>661</v>
      </c>
      <c r="K87" s="2" t="s">
        <v>111</v>
      </c>
      <c r="L87" s="2" t="s">
        <v>26</v>
      </c>
      <c r="M87" s="2" t="s">
        <v>26</v>
      </c>
      <c r="N87" s="2" t="s">
        <v>421</v>
      </c>
      <c r="O87" s="2" t="s">
        <v>52</v>
      </c>
      <c r="P87" s="2" t="s">
        <v>662</v>
      </c>
      <c r="Q87" s="2" t="s">
        <v>663</v>
      </c>
    </row>
    <row r="88" customFormat="false" ht="35.05" hidden="false" customHeight="false" outlineLevel="0" collapsed="false">
      <c r="A88" s="2" t="s">
        <v>664</v>
      </c>
      <c r="B88" s="2" t="n">
        <v>40</v>
      </c>
      <c r="C88" s="2" t="s">
        <v>665</v>
      </c>
      <c r="D88" s="2" t="s">
        <v>666</v>
      </c>
      <c r="E88" s="2" t="s">
        <v>20</v>
      </c>
      <c r="F88" s="2" t="s">
        <v>116</v>
      </c>
      <c r="G88" s="2" t="s">
        <v>667</v>
      </c>
      <c r="H88" s="2" t="s">
        <v>668</v>
      </c>
      <c r="I88" s="2" t="s">
        <v>669</v>
      </c>
      <c r="J88" s="2" t="s">
        <v>649</v>
      </c>
      <c r="K88" s="2" t="s">
        <v>51</v>
      </c>
      <c r="L88" s="2" t="s">
        <v>26</v>
      </c>
      <c r="M88" s="2" t="s">
        <v>26</v>
      </c>
      <c r="N88" s="2" t="s">
        <v>421</v>
      </c>
      <c r="O88" s="2" t="s">
        <v>500</v>
      </c>
      <c r="P88" s="2" t="s">
        <v>670</v>
      </c>
      <c r="Q88" s="2" t="s">
        <v>671</v>
      </c>
    </row>
    <row r="89" customFormat="false" ht="35.05" hidden="false" customHeight="false" outlineLevel="0" collapsed="false">
      <c r="A89" s="2" t="s">
        <v>672</v>
      </c>
      <c r="B89" s="2" t="n">
        <v>40</v>
      </c>
      <c r="C89" s="2" t="s">
        <v>665</v>
      </c>
      <c r="D89" s="2" t="s">
        <v>666</v>
      </c>
      <c r="E89" s="2" t="s">
        <v>46</v>
      </c>
      <c r="F89" s="2" t="s">
        <v>220</v>
      </c>
      <c r="G89" s="2" t="s">
        <v>221</v>
      </c>
      <c r="H89" s="2" t="s">
        <v>673</v>
      </c>
      <c r="I89" s="2" t="s">
        <v>674</v>
      </c>
      <c r="J89" s="2" t="s">
        <v>675</v>
      </c>
      <c r="K89" s="2" t="s">
        <v>51</v>
      </c>
      <c r="L89" s="2" t="s">
        <v>26</v>
      </c>
      <c r="M89" s="2" t="s">
        <v>26</v>
      </c>
      <c r="N89" s="2" t="s">
        <v>421</v>
      </c>
      <c r="O89" s="2" t="s">
        <v>52</v>
      </c>
      <c r="P89" s="2" t="s">
        <v>676</v>
      </c>
      <c r="Q89" s="2" t="s">
        <v>671</v>
      </c>
    </row>
    <row r="90" customFormat="false" ht="23.85" hidden="false" customHeight="false" outlineLevel="0" collapsed="false">
      <c r="A90" s="2" t="s">
        <v>677</v>
      </c>
      <c r="B90" s="2" t="n">
        <v>41</v>
      </c>
      <c r="C90" s="2" t="s">
        <v>678</v>
      </c>
      <c r="D90" s="2" t="s">
        <v>679</v>
      </c>
      <c r="E90" s="2" t="s">
        <v>34</v>
      </c>
      <c r="F90" s="2" t="s">
        <v>35</v>
      </c>
      <c r="G90" s="2" t="s">
        <v>36</v>
      </c>
      <c r="H90" s="2" t="s">
        <v>680</v>
      </c>
      <c r="I90" s="2" t="s">
        <v>681</v>
      </c>
      <c r="J90" s="2" t="s">
        <v>682</v>
      </c>
      <c r="K90" s="2" t="s">
        <v>25</v>
      </c>
      <c r="L90" s="2" t="s">
        <v>121</v>
      </c>
      <c r="M90" s="2" t="s">
        <v>26</v>
      </c>
      <c r="N90" s="2" t="s">
        <v>421</v>
      </c>
      <c r="O90" s="2" t="s">
        <v>428</v>
      </c>
      <c r="P90" s="2" t="s">
        <v>683</v>
      </c>
      <c r="Q90" s="2" t="s">
        <v>684</v>
      </c>
    </row>
    <row r="91" customFormat="false" ht="35.05" hidden="false" customHeight="false" outlineLevel="0" collapsed="false">
      <c r="A91" s="2" t="s">
        <v>685</v>
      </c>
      <c r="B91" s="2" t="n">
        <v>44</v>
      </c>
      <c r="C91" s="2" t="s">
        <v>44</v>
      </c>
      <c r="D91" s="2" t="s">
        <v>45</v>
      </c>
      <c r="E91" s="2" t="s">
        <v>34</v>
      </c>
      <c r="F91" s="2" t="s">
        <v>298</v>
      </c>
      <c r="G91" s="2" t="s">
        <v>686</v>
      </c>
      <c r="H91" s="2" t="s">
        <v>687</v>
      </c>
      <c r="I91" s="2" t="s">
        <v>688</v>
      </c>
      <c r="J91" s="2" t="s">
        <v>689</v>
      </c>
      <c r="K91" s="2" t="s">
        <v>25</v>
      </c>
      <c r="L91" s="2" t="s">
        <v>121</v>
      </c>
      <c r="M91" s="2" t="s">
        <v>26</v>
      </c>
      <c r="N91" s="2" t="s">
        <v>421</v>
      </c>
      <c r="O91" s="2" t="s">
        <v>428</v>
      </c>
      <c r="P91" s="2" t="s">
        <v>690</v>
      </c>
      <c r="Q91" s="2" t="s">
        <v>54</v>
      </c>
    </row>
    <row r="92" customFormat="false" ht="35.05" hidden="false" customHeight="false" outlineLevel="0" collapsed="false">
      <c r="A92" s="2" t="s">
        <v>691</v>
      </c>
      <c r="B92" s="2" t="n">
        <v>45</v>
      </c>
      <c r="C92" s="2" t="s">
        <v>136</v>
      </c>
      <c r="D92" s="2" t="s">
        <v>137</v>
      </c>
      <c r="E92" s="2" t="s">
        <v>20</v>
      </c>
      <c r="F92" s="2" t="s">
        <v>550</v>
      </c>
      <c r="G92" s="2" t="s">
        <v>551</v>
      </c>
      <c r="H92" s="2" t="s">
        <v>692</v>
      </c>
      <c r="I92" s="2" t="s">
        <v>693</v>
      </c>
      <c r="J92" s="2" t="s">
        <v>694</v>
      </c>
      <c r="K92" s="2" t="s">
        <v>25</v>
      </c>
      <c r="L92" s="2" t="s">
        <v>121</v>
      </c>
      <c r="M92" s="2" t="s">
        <v>26</v>
      </c>
      <c r="N92" s="2" t="s">
        <v>421</v>
      </c>
      <c r="O92" s="2" t="s">
        <v>28</v>
      </c>
      <c r="P92" s="2" t="s">
        <v>695</v>
      </c>
      <c r="Q92" s="2" t="s">
        <v>144</v>
      </c>
    </row>
    <row r="93" customFormat="false" ht="35.05" hidden="false" customHeight="false" outlineLevel="0" collapsed="false">
      <c r="A93" s="2" t="s">
        <v>696</v>
      </c>
      <c r="B93" s="2" t="n">
        <v>46</v>
      </c>
      <c r="C93" s="2" t="s">
        <v>326</v>
      </c>
      <c r="D93" s="2" t="s">
        <v>327</v>
      </c>
      <c r="E93" s="2" t="s">
        <v>20</v>
      </c>
      <c r="F93" s="2" t="s">
        <v>697</v>
      </c>
      <c r="G93" s="2" t="s">
        <v>698</v>
      </c>
      <c r="H93" s="2" t="s">
        <v>699</v>
      </c>
      <c r="I93" s="2" t="s">
        <v>700</v>
      </c>
      <c r="J93" s="2" t="s">
        <v>701</v>
      </c>
      <c r="K93" s="2" t="s">
        <v>111</v>
      </c>
      <c r="L93" s="2" t="s">
        <v>26</v>
      </c>
      <c r="M93" s="2" t="s">
        <v>26</v>
      </c>
      <c r="N93" s="2" t="s">
        <v>421</v>
      </c>
      <c r="O93" s="2" t="s">
        <v>197</v>
      </c>
      <c r="P93" s="2" t="s">
        <v>702</v>
      </c>
      <c r="Q93" s="2" t="s">
        <v>334</v>
      </c>
    </row>
    <row r="94" customFormat="false" ht="23.85" hidden="false" customHeight="false" outlineLevel="0" collapsed="false">
      <c r="A94" s="2" t="s">
        <v>703</v>
      </c>
      <c r="B94" s="2" t="n">
        <v>47</v>
      </c>
      <c r="C94" s="2" t="s">
        <v>336</v>
      </c>
      <c r="D94" s="2" t="s">
        <v>337</v>
      </c>
      <c r="E94" s="2" t="s">
        <v>58</v>
      </c>
      <c r="F94" s="2" t="s">
        <v>704</v>
      </c>
      <c r="G94" s="2" t="s">
        <v>705</v>
      </c>
      <c r="H94" s="2" t="s">
        <v>618</v>
      </c>
      <c r="I94" s="2" t="s">
        <v>619</v>
      </c>
      <c r="J94" s="2" t="s">
        <v>706</v>
      </c>
      <c r="K94" s="2" t="s">
        <v>25</v>
      </c>
      <c r="L94" s="2" t="s">
        <v>121</v>
      </c>
      <c r="M94" s="2" t="s">
        <v>26</v>
      </c>
      <c r="N94" s="2" t="s">
        <v>421</v>
      </c>
      <c r="O94" s="2" t="s">
        <v>63</v>
      </c>
      <c r="P94" s="2" t="s">
        <v>707</v>
      </c>
      <c r="Q94" s="2" t="s">
        <v>340</v>
      </c>
    </row>
    <row r="95" customFormat="false" ht="23.85" hidden="false" customHeight="false" outlineLevel="0" collapsed="false">
      <c r="A95" s="2" t="s">
        <v>708</v>
      </c>
      <c r="B95" s="2" t="n">
        <v>48</v>
      </c>
      <c r="C95" s="2" t="s">
        <v>709</v>
      </c>
      <c r="D95" s="2" t="s">
        <v>370</v>
      </c>
      <c r="E95" s="2" t="s">
        <v>58</v>
      </c>
      <c r="F95" s="2" t="s">
        <v>232</v>
      </c>
      <c r="G95" s="2" t="s">
        <v>710</v>
      </c>
      <c r="H95" s="2" t="s">
        <v>711</v>
      </c>
      <c r="I95" s="2" t="s">
        <v>712</v>
      </c>
      <c r="J95" s="2" t="s">
        <v>713</v>
      </c>
      <c r="K95" s="2" t="s">
        <v>187</v>
      </c>
      <c r="L95" s="2" t="s">
        <v>121</v>
      </c>
      <c r="M95" s="2" t="s">
        <v>26</v>
      </c>
      <c r="N95" s="2" t="s">
        <v>421</v>
      </c>
      <c r="O95" s="2" t="s">
        <v>63</v>
      </c>
      <c r="P95" s="2" t="s">
        <v>714</v>
      </c>
      <c r="Q95" s="2" t="s">
        <v>715</v>
      </c>
    </row>
    <row r="96" customFormat="false" ht="23.85" hidden="false" customHeight="false" outlineLevel="0" collapsed="false">
      <c r="A96" s="2" t="s">
        <v>716</v>
      </c>
      <c r="B96" s="2" t="n">
        <v>48</v>
      </c>
      <c r="C96" s="2" t="s">
        <v>709</v>
      </c>
      <c r="D96" s="2" t="s">
        <v>370</v>
      </c>
      <c r="E96" s="2" t="s">
        <v>20</v>
      </c>
      <c r="F96" s="2" t="s">
        <v>717</v>
      </c>
      <c r="G96" s="2" t="s">
        <v>718</v>
      </c>
      <c r="H96" s="2" t="s">
        <v>474</v>
      </c>
      <c r="I96" s="2" t="s">
        <v>475</v>
      </c>
      <c r="J96" s="2" t="s">
        <v>719</v>
      </c>
      <c r="K96" s="2" t="s">
        <v>25</v>
      </c>
      <c r="L96" s="2" t="s">
        <v>121</v>
      </c>
      <c r="M96" s="2" t="s">
        <v>26</v>
      </c>
      <c r="N96" s="2" t="s">
        <v>421</v>
      </c>
      <c r="O96" s="2" t="s">
        <v>28</v>
      </c>
      <c r="P96" s="2" t="s">
        <v>720</v>
      </c>
      <c r="Q96" s="2" t="s">
        <v>715</v>
      </c>
    </row>
    <row r="97" customFormat="false" ht="23.85" hidden="false" customHeight="false" outlineLevel="0" collapsed="false">
      <c r="A97" s="2" t="s">
        <v>721</v>
      </c>
      <c r="B97" s="2" t="n">
        <v>49</v>
      </c>
      <c r="C97" s="2" t="s">
        <v>722</v>
      </c>
      <c r="D97" s="2" t="s">
        <v>723</v>
      </c>
      <c r="E97" s="2" t="s">
        <v>89</v>
      </c>
      <c r="F97" s="2" t="s">
        <v>724</v>
      </c>
      <c r="G97" s="2" t="s">
        <v>725</v>
      </c>
      <c r="H97" s="2" t="s">
        <v>726</v>
      </c>
      <c r="I97" s="2" t="s">
        <v>727</v>
      </c>
      <c r="J97" s="2" t="s">
        <v>728</v>
      </c>
      <c r="K97" s="2" t="s">
        <v>25</v>
      </c>
      <c r="L97" s="2" t="s">
        <v>26</v>
      </c>
      <c r="M97" s="2" t="s">
        <v>26</v>
      </c>
      <c r="N97" s="2" t="s">
        <v>421</v>
      </c>
      <c r="O97" s="2" t="s">
        <v>52</v>
      </c>
      <c r="P97" s="2" t="s">
        <v>729</v>
      </c>
      <c r="Q97" s="2" t="s">
        <v>730</v>
      </c>
    </row>
    <row r="98" customFormat="false" ht="23.85" hidden="false" customHeight="false" outlineLevel="0" collapsed="false">
      <c r="A98" s="2" t="s">
        <v>731</v>
      </c>
      <c r="B98" s="2" t="n">
        <v>50</v>
      </c>
      <c r="C98" s="2" t="s">
        <v>146</v>
      </c>
      <c r="D98" s="2" t="s">
        <v>147</v>
      </c>
      <c r="E98" s="2" t="s">
        <v>34</v>
      </c>
      <c r="F98" s="2" t="s">
        <v>732</v>
      </c>
      <c r="G98" s="2" t="s">
        <v>733</v>
      </c>
      <c r="H98" s="2" t="s">
        <v>734</v>
      </c>
      <c r="I98" s="2" t="s">
        <v>735</v>
      </c>
      <c r="J98" s="2" t="s">
        <v>736</v>
      </c>
      <c r="K98" s="2" t="s">
        <v>51</v>
      </c>
      <c r="L98" s="2" t="s">
        <v>26</v>
      </c>
      <c r="M98" s="2" t="s">
        <v>26</v>
      </c>
      <c r="N98" s="2" t="s">
        <v>421</v>
      </c>
      <c r="O98" s="2" t="s">
        <v>428</v>
      </c>
      <c r="P98" s="2" t="s">
        <v>737</v>
      </c>
      <c r="Q98" s="2" t="s">
        <v>154</v>
      </c>
    </row>
    <row r="99" customFormat="false" ht="35.05" hidden="false" customHeight="false" outlineLevel="0" collapsed="false">
      <c r="A99" s="2" t="s">
        <v>738</v>
      </c>
      <c r="B99" s="2" t="n">
        <v>51</v>
      </c>
      <c r="C99" s="2" t="s">
        <v>739</v>
      </c>
      <c r="D99" s="2" t="s">
        <v>740</v>
      </c>
      <c r="E99" s="2" t="s">
        <v>46</v>
      </c>
      <c r="F99" s="2" t="s">
        <v>258</v>
      </c>
      <c r="G99" s="2" t="s">
        <v>259</v>
      </c>
      <c r="H99" s="2" t="s">
        <v>741</v>
      </c>
      <c r="I99" s="2" t="s">
        <v>742</v>
      </c>
      <c r="J99" s="2" t="s">
        <v>743</v>
      </c>
      <c r="K99" s="2" t="s">
        <v>51</v>
      </c>
      <c r="L99" s="2" t="s">
        <v>121</v>
      </c>
      <c r="M99" s="2" t="s">
        <v>26</v>
      </c>
      <c r="N99" s="2" t="s">
        <v>421</v>
      </c>
      <c r="O99" s="2" t="s">
        <v>52</v>
      </c>
      <c r="P99" s="2" t="s">
        <v>744</v>
      </c>
      <c r="Q99" s="2" t="s">
        <v>745</v>
      </c>
    </row>
    <row r="100" customFormat="false" ht="23.85" hidden="false" customHeight="false" outlineLevel="0" collapsed="false">
      <c r="A100" s="2" t="s">
        <v>746</v>
      </c>
      <c r="B100" s="2" t="n">
        <v>52</v>
      </c>
      <c r="C100" s="2" t="s">
        <v>747</v>
      </c>
      <c r="D100" s="2" t="s">
        <v>748</v>
      </c>
      <c r="E100" s="2" t="s">
        <v>34</v>
      </c>
      <c r="F100" s="2" t="s">
        <v>410</v>
      </c>
      <c r="G100" s="2" t="s">
        <v>411</v>
      </c>
      <c r="H100" s="2" t="s">
        <v>749</v>
      </c>
      <c r="I100" s="2" t="s">
        <v>750</v>
      </c>
      <c r="J100" s="2" t="s">
        <v>751</v>
      </c>
      <c r="K100" s="2" t="s">
        <v>51</v>
      </c>
      <c r="L100" s="2" t="s">
        <v>26</v>
      </c>
      <c r="M100" s="2" t="s">
        <v>26</v>
      </c>
      <c r="N100" s="2" t="s">
        <v>421</v>
      </c>
      <c r="O100" s="2" t="s">
        <v>428</v>
      </c>
      <c r="P100" s="2" t="s">
        <v>752</v>
      </c>
      <c r="Q100" s="2" t="s">
        <v>753</v>
      </c>
    </row>
    <row r="101" customFormat="false" ht="23.85" hidden="false" customHeight="false" outlineLevel="0" collapsed="false">
      <c r="A101" s="2" t="s">
        <v>754</v>
      </c>
      <c r="B101" s="2" t="n">
        <v>52</v>
      </c>
      <c r="C101" s="2" t="s">
        <v>747</v>
      </c>
      <c r="D101" s="2" t="s">
        <v>748</v>
      </c>
      <c r="E101" s="2" t="s">
        <v>89</v>
      </c>
      <c r="F101" s="2" t="s">
        <v>220</v>
      </c>
      <c r="G101" s="2" t="s">
        <v>221</v>
      </c>
      <c r="H101" s="2" t="s">
        <v>755</v>
      </c>
      <c r="I101" s="2" t="s">
        <v>756</v>
      </c>
      <c r="J101" s="2" t="s">
        <v>757</v>
      </c>
      <c r="K101" s="2" t="s">
        <v>51</v>
      </c>
      <c r="L101" s="2" t="s">
        <v>26</v>
      </c>
      <c r="M101" s="2" t="s">
        <v>26</v>
      </c>
      <c r="N101" s="2" t="s">
        <v>421</v>
      </c>
      <c r="O101" s="2" t="s">
        <v>52</v>
      </c>
      <c r="P101" s="2" t="s">
        <v>758</v>
      </c>
      <c r="Q101" s="2" t="s">
        <v>753</v>
      </c>
    </row>
    <row r="102" customFormat="false" ht="23.85" hidden="false" customHeight="false" outlineLevel="0" collapsed="false">
      <c r="A102" s="2" t="s">
        <v>759</v>
      </c>
      <c r="B102" s="2" t="n">
        <v>52</v>
      </c>
      <c r="C102" s="2" t="s">
        <v>747</v>
      </c>
      <c r="D102" s="2" t="s">
        <v>748</v>
      </c>
      <c r="E102" s="2" t="s">
        <v>46</v>
      </c>
      <c r="F102" s="2" t="s">
        <v>760</v>
      </c>
      <c r="G102" s="2" t="s">
        <v>761</v>
      </c>
      <c r="H102" s="2" t="s">
        <v>258</v>
      </c>
      <c r="I102" s="2" t="s">
        <v>259</v>
      </c>
      <c r="J102" s="2"/>
      <c r="K102" s="2" t="s">
        <v>51</v>
      </c>
      <c r="L102" s="2" t="s">
        <v>26</v>
      </c>
      <c r="M102" s="2" t="s">
        <v>26</v>
      </c>
      <c r="N102" s="2" t="s">
        <v>421</v>
      </c>
      <c r="O102" s="2" t="s">
        <v>52</v>
      </c>
      <c r="P102" s="2" t="s">
        <v>762</v>
      </c>
      <c r="Q102" s="2" t="s">
        <v>753</v>
      </c>
    </row>
    <row r="103" customFormat="false" ht="23.85" hidden="false" customHeight="false" outlineLevel="0" collapsed="false">
      <c r="A103" s="2" t="s">
        <v>763</v>
      </c>
      <c r="B103" s="2" t="n">
        <v>54</v>
      </c>
      <c r="C103" s="2" t="s">
        <v>352</v>
      </c>
      <c r="D103" s="2" t="s">
        <v>353</v>
      </c>
      <c r="E103" s="2" t="s">
        <v>89</v>
      </c>
      <c r="F103" s="2" t="s">
        <v>256</v>
      </c>
      <c r="G103" s="2" t="s">
        <v>764</v>
      </c>
      <c r="H103" s="2" t="s">
        <v>765</v>
      </c>
      <c r="I103" s="2" t="s">
        <v>766</v>
      </c>
      <c r="J103" s="2" t="s">
        <v>767</v>
      </c>
      <c r="K103" s="2" t="s">
        <v>111</v>
      </c>
      <c r="L103" s="2" t="s">
        <v>121</v>
      </c>
      <c r="M103" s="2" t="s">
        <v>26</v>
      </c>
      <c r="N103" s="2" t="s">
        <v>421</v>
      </c>
      <c r="O103" s="2" t="s">
        <v>52</v>
      </c>
      <c r="P103" s="2" t="s">
        <v>768</v>
      </c>
      <c r="Q103" s="2" t="s">
        <v>357</v>
      </c>
    </row>
    <row r="104" customFormat="false" ht="68.65" hidden="false" customHeight="false" outlineLevel="0" collapsed="false">
      <c r="A104" s="2" t="s">
        <v>769</v>
      </c>
      <c r="B104" s="2" t="n">
        <v>55</v>
      </c>
      <c r="C104" s="2" t="s">
        <v>770</v>
      </c>
      <c r="D104" s="2" t="s">
        <v>771</v>
      </c>
      <c r="E104" s="2" t="s">
        <v>34</v>
      </c>
      <c r="F104" s="2" t="s">
        <v>39</v>
      </c>
      <c r="G104" s="2" t="s">
        <v>772</v>
      </c>
      <c r="H104" s="2" t="s">
        <v>773</v>
      </c>
      <c r="I104" s="2" t="s">
        <v>774</v>
      </c>
      <c r="J104" s="2" t="s">
        <v>775</v>
      </c>
      <c r="K104" s="2" t="s">
        <v>111</v>
      </c>
      <c r="L104" s="2" t="s">
        <v>26</v>
      </c>
      <c r="M104" s="2" t="s">
        <v>26</v>
      </c>
      <c r="N104" s="2" t="s">
        <v>421</v>
      </c>
      <c r="O104" s="2" t="s">
        <v>428</v>
      </c>
      <c r="P104" s="2" t="s">
        <v>776</v>
      </c>
      <c r="Q104" s="2" t="s">
        <v>777</v>
      </c>
    </row>
    <row r="105" customFormat="false" ht="68.65" hidden="false" customHeight="false" outlineLevel="0" collapsed="false">
      <c r="A105" s="2" t="s">
        <v>778</v>
      </c>
      <c r="B105" s="2" t="n">
        <v>55</v>
      </c>
      <c r="C105" s="2" t="s">
        <v>770</v>
      </c>
      <c r="D105" s="2" t="s">
        <v>771</v>
      </c>
      <c r="E105" s="2" t="s">
        <v>89</v>
      </c>
      <c r="F105" s="2" t="s">
        <v>779</v>
      </c>
      <c r="G105" s="2" t="s">
        <v>780</v>
      </c>
      <c r="H105" s="2" t="s">
        <v>781</v>
      </c>
      <c r="I105" s="2" t="s">
        <v>782</v>
      </c>
      <c r="J105" s="2" t="s">
        <v>783</v>
      </c>
      <c r="K105" s="2" t="s">
        <v>51</v>
      </c>
      <c r="L105" s="2" t="s">
        <v>26</v>
      </c>
      <c r="M105" s="2" t="s">
        <v>26</v>
      </c>
      <c r="N105" s="2" t="s">
        <v>421</v>
      </c>
      <c r="O105" s="2" t="s">
        <v>52</v>
      </c>
      <c r="P105" s="2" t="s">
        <v>784</v>
      </c>
      <c r="Q105" s="2" t="s">
        <v>777</v>
      </c>
    </row>
    <row r="106" customFormat="false" ht="68.65" hidden="false" customHeight="false" outlineLevel="0" collapsed="false">
      <c r="A106" s="2" t="s">
        <v>785</v>
      </c>
      <c r="B106" s="2" t="n">
        <v>55</v>
      </c>
      <c r="C106" s="2" t="s">
        <v>770</v>
      </c>
      <c r="D106" s="2" t="s">
        <v>771</v>
      </c>
      <c r="E106" s="2" t="s">
        <v>46</v>
      </c>
      <c r="F106" s="2" t="s">
        <v>786</v>
      </c>
      <c r="G106" s="2" t="s">
        <v>787</v>
      </c>
      <c r="H106" s="2" t="s">
        <v>788</v>
      </c>
      <c r="I106" s="2" t="s">
        <v>789</v>
      </c>
      <c r="J106" s="2" t="s">
        <v>790</v>
      </c>
      <c r="K106" s="2" t="s">
        <v>51</v>
      </c>
      <c r="L106" s="2" t="s">
        <v>26</v>
      </c>
      <c r="M106" s="2" t="s">
        <v>26</v>
      </c>
      <c r="N106" s="2" t="s">
        <v>421</v>
      </c>
      <c r="O106" s="2" t="s">
        <v>52</v>
      </c>
      <c r="P106" s="2" t="s">
        <v>791</v>
      </c>
      <c r="Q106" s="2" t="s">
        <v>777</v>
      </c>
    </row>
    <row r="107" customFormat="false" ht="23.85" hidden="false" customHeight="false" outlineLevel="0" collapsed="false">
      <c r="A107" s="2" t="s">
        <v>792</v>
      </c>
      <c r="B107" s="2" t="n">
        <v>58</v>
      </c>
      <c r="C107" s="2" t="s">
        <v>359</v>
      </c>
      <c r="D107" s="2" t="s">
        <v>360</v>
      </c>
      <c r="E107" s="2" t="s">
        <v>34</v>
      </c>
      <c r="F107" s="2" t="s">
        <v>773</v>
      </c>
      <c r="G107" s="2" t="s">
        <v>774</v>
      </c>
      <c r="H107" s="2" t="s">
        <v>793</v>
      </c>
      <c r="I107" s="2" t="s">
        <v>794</v>
      </c>
      <c r="J107" s="2" t="s">
        <v>795</v>
      </c>
      <c r="K107" s="2" t="s">
        <v>187</v>
      </c>
      <c r="L107" s="2" t="s">
        <v>121</v>
      </c>
      <c r="M107" s="2" t="s">
        <v>26</v>
      </c>
      <c r="N107" s="2" t="s">
        <v>421</v>
      </c>
      <c r="O107" s="2" t="s">
        <v>428</v>
      </c>
      <c r="P107" s="2" t="s">
        <v>796</v>
      </c>
      <c r="Q107" s="2" t="s">
        <v>367</v>
      </c>
    </row>
    <row r="108" customFormat="false" ht="46.25" hidden="false" customHeight="false" outlineLevel="0" collapsed="false">
      <c r="A108" s="2" t="s">
        <v>797</v>
      </c>
      <c r="B108" s="2" t="n">
        <v>59</v>
      </c>
      <c r="C108" s="2" t="s">
        <v>798</v>
      </c>
      <c r="D108" s="2" t="s">
        <v>799</v>
      </c>
      <c r="E108" s="2" t="s">
        <v>20</v>
      </c>
      <c r="F108" s="2" t="s">
        <v>800</v>
      </c>
      <c r="G108" s="2" t="s">
        <v>801</v>
      </c>
      <c r="H108" s="2" t="s">
        <v>802</v>
      </c>
      <c r="I108" s="2" t="s">
        <v>803</v>
      </c>
      <c r="J108" s="2" t="s">
        <v>804</v>
      </c>
      <c r="K108" s="2" t="s">
        <v>51</v>
      </c>
      <c r="L108" s="2" t="s">
        <v>26</v>
      </c>
      <c r="M108" s="2" t="s">
        <v>26</v>
      </c>
      <c r="N108" s="2" t="s">
        <v>421</v>
      </c>
      <c r="O108" s="2" t="s">
        <v>500</v>
      </c>
      <c r="P108" s="2" t="s">
        <v>805</v>
      </c>
      <c r="Q108" s="2" t="s">
        <v>806</v>
      </c>
    </row>
    <row r="109" customFormat="false" ht="46.25" hidden="false" customHeight="false" outlineLevel="0" collapsed="false">
      <c r="A109" s="2" t="s">
        <v>807</v>
      </c>
      <c r="B109" s="2" t="n">
        <v>59</v>
      </c>
      <c r="C109" s="2" t="s">
        <v>798</v>
      </c>
      <c r="D109" s="2" t="s">
        <v>799</v>
      </c>
      <c r="E109" s="2" t="s">
        <v>34</v>
      </c>
      <c r="F109" s="2" t="s">
        <v>808</v>
      </c>
      <c r="G109" s="2" t="s">
        <v>809</v>
      </c>
      <c r="H109" s="2" t="s">
        <v>575</v>
      </c>
      <c r="I109" s="2" t="s">
        <v>576</v>
      </c>
      <c r="J109" s="2" t="s">
        <v>810</v>
      </c>
      <c r="K109" s="2" t="s">
        <v>187</v>
      </c>
      <c r="L109" s="2" t="s">
        <v>121</v>
      </c>
      <c r="M109" s="2" t="s">
        <v>26</v>
      </c>
      <c r="N109" s="2" t="s">
        <v>421</v>
      </c>
      <c r="O109" s="2" t="s">
        <v>428</v>
      </c>
      <c r="P109" s="2" t="s">
        <v>811</v>
      </c>
      <c r="Q109" s="2" t="s">
        <v>806</v>
      </c>
    </row>
    <row r="110" customFormat="false" ht="46.25" hidden="false" customHeight="false" outlineLevel="0" collapsed="false">
      <c r="A110" s="2" t="s">
        <v>812</v>
      </c>
      <c r="B110" s="2" t="n">
        <v>59</v>
      </c>
      <c r="C110" s="2" t="s">
        <v>798</v>
      </c>
      <c r="D110" s="2" t="s">
        <v>799</v>
      </c>
      <c r="E110" s="2" t="s">
        <v>46</v>
      </c>
      <c r="F110" s="2" t="s">
        <v>69</v>
      </c>
      <c r="G110" s="2" t="s">
        <v>164</v>
      </c>
      <c r="H110" s="2" t="s">
        <v>258</v>
      </c>
      <c r="I110" s="2" t="s">
        <v>259</v>
      </c>
      <c r="J110" s="2" t="s">
        <v>69</v>
      </c>
      <c r="K110" s="2" t="s">
        <v>25</v>
      </c>
      <c r="L110" s="2" t="s">
        <v>121</v>
      </c>
      <c r="M110" s="2" t="s">
        <v>26</v>
      </c>
      <c r="N110" s="2" t="s">
        <v>421</v>
      </c>
      <c r="O110" s="2" t="s">
        <v>52</v>
      </c>
      <c r="P110" s="2" t="s">
        <v>813</v>
      </c>
      <c r="Q110" s="2" t="s">
        <v>806</v>
      </c>
    </row>
    <row r="111" customFormat="false" ht="46.25" hidden="false" customHeight="false" outlineLevel="0" collapsed="false">
      <c r="A111" s="2" t="s">
        <v>814</v>
      </c>
      <c r="B111" s="2" t="n">
        <v>60</v>
      </c>
      <c r="C111" s="2" t="s">
        <v>815</v>
      </c>
      <c r="D111" s="2" t="s">
        <v>816</v>
      </c>
      <c r="E111" s="2" t="s">
        <v>20</v>
      </c>
      <c r="F111" s="2" t="s">
        <v>271</v>
      </c>
      <c r="G111" s="2" t="s">
        <v>272</v>
      </c>
      <c r="H111" s="2" t="s">
        <v>817</v>
      </c>
      <c r="I111" s="2" t="s">
        <v>818</v>
      </c>
      <c r="J111" s="2" t="s">
        <v>819</v>
      </c>
      <c r="K111" s="2" t="s">
        <v>25</v>
      </c>
      <c r="L111" s="2" t="s">
        <v>121</v>
      </c>
      <c r="M111" s="2" t="s">
        <v>26</v>
      </c>
      <c r="N111" s="2" t="s">
        <v>421</v>
      </c>
      <c r="O111" s="2" t="s">
        <v>500</v>
      </c>
      <c r="P111" s="2" t="s">
        <v>820</v>
      </c>
      <c r="Q111" s="2" t="s">
        <v>821</v>
      </c>
    </row>
    <row r="112" customFormat="false" ht="46.25" hidden="false" customHeight="false" outlineLevel="0" collapsed="false">
      <c r="A112" s="2" t="s">
        <v>822</v>
      </c>
      <c r="B112" s="2" t="n">
        <v>62</v>
      </c>
      <c r="C112" s="2" t="s">
        <v>823</v>
      </c>
      <c r="D112" s="2" t="s">
        <v>824</v>
      </c>
      <c r="E112" s="2" t="s">
        <v>34</v>
      </c>
      <c r="F112" s="2" t="s">
        <v>825</v>
      </c>
      <c r="G112" s="2" t="s">
        <v>826</v>
      </c>
      <c r="H112" s="2" t="s">
        <v>827</v>
      </c>
      <c r="I112" s="2" t="s">
        <v>828</v>
      </c>
      <c r="J112" s="2" t="s">
        <v>829</v>
      </c>
      <c r="K112" s="2" t="s">
        <v>51</v>
      </c>
      <c r="L112" s="2" t="s">
        <v>121</v>
      </c>
      <c r="M112" s="2" t="s">
        <v>26</v>
      </c>
      <c r="N112" s="2" t="s">
        <v>421</v>
      </c>
      <c r="O112" s="2" t="s">
        <v>428</v>
      </c>
      <c r="P112" s="2" t="s">
        <v>830</v>
      </c>
      <c r="Q112" s="2" t="s">
        <v>831</v>
      </c>
    </row>
    <row r="113" customFormat="false" ht="46.25" hidden="false" customHeight="false" outlineLevel="0" collapsed="false">
      <c r="A113" s="2" t="s">
        <v>832</v>
      </c>
      <c r="B113" s="2" t="n">
        <v>62</v>
      </c>
      <c r="C113" s="2" t="s">
        <v>823</v>
      </c>
      <c r="D113" s="2" t="s">
        <v>824</v>
      </c>
      <c r="E113" s="2" t="s">
        <v>89</v>
      </c>
      <c r="F113" s="2" t="s">
        <v>833</v>
      </c>
      <c r="G113" s="2" t="s">
        <v>834</v>
      </c>
      <c r="H113" s="2" t="s">
        <v>518</v>
      </c>
      <c r="I113" s="2" t="s">
        <v>519</v>
      </c>
      <c r="J113" s="2" t="s">
        <v>835</v>
      </c>
      <c r="K113" s="2" t="s">
        <v>51</v>
      </c>
      <c r="L113" s="2" t="s">
        <v>26</v>
      </c>
      <c r="M113" s="2" t="s">
        <v>26</v>
      </c>
      <c r="N113" s="2" t="s">
        <v>421</v>
      </c>
      <c r="O113" s="2" t="s">
        <v>52</v>
      </c>
      <c r="P113" s="2" t="s">
        <v>836</v>
      </c>
      <c r="Q113" s="2" t="s">
        <v>831</v>
      </c>
    </row>
    <row r="114" customFormat="false" ht="46.25" hidden="false" customHeight="false" outlineLevel="0" collapsed="false">
      <c r="A114" s="2" t="s">
        <v>837</v>
      </c>
      <c r="B114" s="2" t="n">
        <v>62</v>
      </c>
      <c r="C114" s="2" t="s">
        <v>823</v>
      </c>
      <c r="D114" s="2" t="s">
        <v>824</v>
      </c>
      <c r="E114" s="2" t="s">
        <v>46</v>
      </c>
      <c r="F114" s="2" t="s">
        <v>258</v>
      </c>
      <c r="G114" s="2" t="s">
        <v>259</v>
      </c>
      <c r="H114" s="2" t="s">
        <v>838</v>
      </c>
      <c r="I114" s="2" t="s">
        <v>839</v>
      </c>
      <c r="J114" s="2" t="s">
        <v>258</v>
      </c>
      <c r="K114" s="2" t="s">
        <v>51</v>
      </c>
      <c r="L114" s="2" t="s">
        <v>121</v>
      </c>
      <c r="M114" s="2" t="s">
        <v>26</v>
      </c>
      <c r="N114" s="2" t="s">
        <v>421</v>
      </c>
      <c r="O114" s="2" t="s">
        <v>52</v>
      </c>
      <c r="P114" s="2" t="s">
        <v>836</v>
      </c>
      <c r="Q114" s="2" t="s">
        <v>831</v>
      </c>
    </row>
    <row r="115" customFormat="false" ht="23.85" hidden="false" customHeight="false" outlineLevel="0" collapsed="false">
      <c r="A115" s="2" t="s">
        <v>840</v>
      </c>
      <c r="B115" s="2" t="n">
        <v>63</v>
      </c>
      <c r="C115" s="2" t="s">
        <v>369</v>
      </c>
      <c r="D115" s="2" t="s">
        <v>370</v>
      </c>
      <c r="E115" s="2" t="s">
        <v>34</v>
      </c>
      <c r="F115" s="2" t="s">
        <v>410</v>
      </c>
      <c r="G115" s="2" t="s">
        <v>411</v>
      </c>
      <c r="H115" s="2" t="s">
        <v>680</v>
      </c>
      <c r="I115" s="2" t="s">
        <v>681</v>
      </c>
      <c r="J115" s="2" t="s">
        <v>682</v>
      </c>
      <c r="K115" s="2" t="s">
        <v>51</v>
      </c>
      <c r="L115" s="2" t="s">
        <v>26</v>
      </c>
      <c r="M115" s="2" t="s">
        <v>26</v>
      </c>
      <c r="N115" s="2" t="s">
        <v>421</v>
      </c>
      <c r="O115" s="2" t="s">
        <v>428</v>
      </c>
      <c r="P115" s="2" t="s">
        <v>841</v>
      </c>
      <c r="Q115" s="2" t="s">
        <v>372</v>
      </c>
    </row>
    <row r="116" customFormat="false" ht="23.85" hidden="false" customHeight="false" outlineLevel="0" collapsed="false">
      <c r="A116" s="2" t="s">
        <v>842</v>
      </c>
      <c r="B116" s="2" t="n">
        <v>64</v>
      </c>
      <c r="C116" s="2" t="s">
        <v>843</v>
      </c>
      <c r="D116" s="2" t="s">
        <v>844</v>
      </c>
      <c r="E116" s="2" t="s">
        <v>89</v>
      </c>
      <c r="F116" s="2" t="s">
        <v>845</v>
      </c>
      <c r="G116" s="2" t="s">
        <v>846</v>
      </c>
      <c r="H116" s="2" t="s">
        <v>847</v>
      </c>
      <c r="I116" s="2" t="s">
        <v>848</v>
      </c>
      <c r="J116" s="2" t="s">
        <v>849</v>
      </c>
      <c r="K116" s="2" t="s">
        <v>187</v>
      </c>
      <c r="L116" s="2" t="s">
        <v>121</v>
      </c>
      <c r="M116" s="2" t="s">
        <v>26</v>
      </c>
      <c r="N116" s="2" t="s">
        <v>421</v>
      </c>
      <c r="O116" s="2" t="s">
        <v>52</v>
      </c>
      <c r="P116" s="2" t="s">
        <v>850</v>
      </c>
      <c r="Q116" s="2" t="s">
        <v>851</v>
      </c>
    </row>
    <row r="117" customFormat="false" ht="23.85" hidden="false" customHeight="false" outlineLevel="0" collapsed="false">
      <c r="A117" s="2" t="s">
        <v>852</v>
      </c>
      <c r="B117" s="2" t="n">
        <v>64</v>
      </c>
      <c r="C117" s="2" t="s">
        <v>843</v>
      </c>
      <c r="D117" s="2" t="s">
        <v>844</v>
      </c>
      <c r="E117" s="2" t="s">
        <v>46</v>
      </c>
      <c r="F117" s="2" t="s">
        <v>258</v>
      </c>
      <c r="G117" s="2" t="s">
        <v>259</v>
      </c>
      <c r="H117" s="2" t="s">
        <v>853</v>
      </c>
      <c r="I117" s="2" t="s">
        <v>854</v>
      </c>
      <c r="J117" s="2" t="s">
        <v>258</v>
      </c>
      <c r="K117" s="2" t="s">
        <v>51</v>
      </c>
      <c r="L117" s="2" t="s">
        <v>121</v>
      </c>
      <c r="M117" s="2" t="s">
        <v>26</v>
      </c>
      <c r="N117" s="2" t="s">
        <v>421</v>
      </c>
      <c r="O117" s="2" t="s">
        <v>52</v>
      </c>
      <c r="P117" s="2" t="s">
        <v>855</v>
      </c>
      <c r="Q117" s="2" t="s">
        <v>851</v>
      </c>
    </row>
    <row r="118" customFormat="false" ht="35.05" hidden="false" customHeight="false" outlineLevel="0" collapsed="false">
      <c r="A118" s="2" t="s">
        <v>856</v>
      </c>
      <c r="B118" s="2" t="n">
        <v>66</v>
      </c>
      <c r="C118" s="2" t="s">
        <v>857</v>
      </c>
      <c r="D118" s="2" t="s">
        <v>858</v>
      </c>
      <c r="E118" s="2" t="s">
        <v>46</v>
      </c>
      <c r="F118" s="2" t="s">
        <v>859</v>
      </c>
      <c r="G118" s="2" t="s">
        <v>860</v>
      </c>
      <c r="H118" s="2" t="s">
        <v>861</v>
      </c>
      <c r="I118" s="2" t="s">
        <v>862</v>
      </c>
      <c r="J118" s="2" t="s">
        <v>863</v>
      </c>
      <c r="K118" s="2" t="s">
        <v>51</v>
      </c>
      <c r="L118" s="2" t="s">
        <v>26</v>
      </c>
      <c r="M118" s="2" t="s">
        <v>26</v>
      </c>
      <c r="N118" s="2" t="s">
        <v>421</v>
      </c>
      <c r="O118" s="2" t="s">
        <v>52</v>
      </c>
      <c r="P118" s="2" t="s">
        <v>864</v>
      </c>
      <c r="Q118" s="2" t="s">
        <v>865</v>
      </c>
    </row>
    <row r="119" customFormat="false" ht="35.05" hidden="false" customHeight="false" outlineLevel="0" collapsed="false">
      <c r="A119" s="2" t="s">
        <v>866</v>
      </c>
      <c r="B119" s="2" t="n">
        <v>67</v>
      </c>
      <c r="C119" s="2" t="s">
        <v>867</v>
      </c>
      <c r="D119" s="2" t="s">
        <v>868</v>
      </c>
      <c r="E119" s="2" t="s">
        <v>46</v>
      </c>
      <c r="F119" s="2" t="s">
        <v>258</v>
      </c>
      <c r="G119" s="2" t="s">
        <v>259</v>
      </c>
      <c r="H119" s="2" t="s">
        <v>588</v>
      </c>
      <c r="I119" s="2" t="s">
        <v>869</v>
      </c>
      <c r="J119" s="2" t="s">
        <v>870</v>
      </c>
      <c r="K119" s="2" t="s">
        <v>51</v>
      </c>
      <c r="L119" s="2" t="s">
        <v>121</v>
      </c>
      <c r="M119" s="2" t="s">
        <v>26</v>
      </c>
      <c r="N119" s="2" t="s">
        <v>421</v>
      </c>
      <c r="O119" s="2" t="s">
        <v>52</v>
      </c>
      <c r="P119" s="2" t="s">
        <v>871</v>
      </c>
      <c r="Q119" s="2" t="s">
        <v>872</v>
      </c>
    </row>
    <row r="120" customFormat="false" ht="57.45" hidden="false" customHeight="false" outlineLevel="0" collapsed="false">
      <c r="A120" s="2" t="s">
        <v>873</v>
      </c>
      <c r="B120" s="2" t="n">
        <v>70</v>
      </c>
      <c r="C120" s="2" t="s">
        <v>874</v>
      </c>
      <c r="D120" s="2" t="s">
        <v>875</v>
      </c>
      <c r="E120" s="2" t="s">
        <v>20</v>
      </c>
      <c r="F120" s="2" t="s">
        <v>876</v>
      </c>
      <c r="G120" s="2" t="s">
        <v>877</v>
      </c>
      <c r="H120" s="2" t="s">
        <v>878</v>
      </c>
      <c r="I120" s="2" t="s">
        <v>879</v>
      </c>
      <c r="J120" s="2" t="s">
        <v>880</v>
      </c>
      <c r="K120" s="2" t="s">
        <v>111</v>
      </c>
      <c r="L120" s="2" t="s">
        <v>26</v>
      </c>
      <c r="M120" s="2" t="s">
        <v>26</v>
      </c>
      <c r="N120" s="2" t="s">
        <v>421</v>
      </c>
      <c r="O120" s="2" t="s">
        <v>500</v>
      </c>
      <c r="P120" s="2" t="s">
        <v>881</v>
      </c>
      <c r="Q120" s="2" t="s">
        <v>882</v>
      </c>
    </row>
    <row r="121" customFormat="false" ht="57.45" hidden="false" customHeight="false" outlineLevel="0" collapsed="false">
      <c r="A121" s="2" t="s">
        <v>883</v>
      </c>
      <c r="B121" s="2" t="n">
        <v>70</v>
      </c>
      <c r="C121" s="2" t="s">
        <v>874</v>
      </c>
      <c r="D121" s="2" t="s">
        <v>875</v>
      </c>
      <c r="E121" s="2" t="s">
        <v>89</v>
      </c>
      <c r="F121" s="2" t="s">
        <v>884</v>
      </c>
      <c r="G121" s="2" t="s">
        <v>885</v>
      </c>
      <c r="H121" s="2" t="s">
        <v>886</v>
      </c>
      <c r="I121" s="2" t="s">
        <v>887</v>
      </c>
      <c r="J121" s="2" t="s">
        <v>888</v>
      </c>
      <c r="K121" s="2" t="s">
        <v>25</v>
      </c>
      <c r="L121" s="2" t="s">
        <v>26</v>
      </c>
      <c r="M121" s="2" t="s">
        <v>26</v>
      </c>
      <c r="N121" s="2" t="s">
        <v>421</v>
      </c>
      <c r="O121" s="2" t="s">
        <v>52</v>
      </c>
      <c r="P121" s="2" t="s">
        <v>889</v>
      </c>
      <c r="Q121" s="2" t="s">
        <v>882</v>
      </c>
    </row>
    <row r="122" customFormat="false" ht="35.05" hidden="false" customHeight="false" outlineLevel="0" collapsed="false">
      <c r="A122" s="2" t="s">
        <v>890</v>
      </c>
      <c r="B122" s="2" t="n">
        <v>71</v>
      </c>
      <c r="C122" s="2" t="s">
        <v>891</v>
      </c>
      <c r="D122" s="2" t="s">
        <v>892</v>
      </c>
      <c r="E122" s="2" t="s">
        <v>34</v>
      </c>
      <c r="F122" s="2" t="s">
        <v>893</v>
      </c>
      <c r="G122" s="2" t="s">
        <v>894</v>
      </c>
      <c r="H122" s="2" t="s">
        <v>895</v>
      </c>
      <c r="I122" s="2" t="s">
        <v>896</v>
      </c>
      <c r="J122" s="2" t="s">
        <v>897</v>
      </c>
      <c r="K122" s="2" t="s">
        <v>187</v>
      </c>
      <c r="L122" s="2" t="s">
        <v>121</v>
      </c>
      <c r="M122" s="2" t="s">
        <v>26</v>
      </c>
      <c r="N122" s="2" t="s">
        <v>421</v>
      </c>
      <c r="O122" s="2" t="s">
        <v>428</v>
      </c>
      <c r="P122" s="2" t="s">
        <v>898</v>
      </c>
      <c r="Q122" s="2" t="s">
        <v>899</v>
      </c>
    </row>
    <row r="123" customFormat="false" ht="35.05" hidden="false" customHeight="false" outlineLevel="0" collapsed="false">
      <c r="A123" s="2" t="s">
        <v>900</v>
      </c>
      <c r="B123" s="2" t="n">
        <v>71</v>
      </c>
      <c r="C123" s="2" t="s">
        <v>891</v>
      </c>
      <c r="D123" s="2" t="s">
        <v>892</v>
      </c>
      <c r="E123" s="2" t="s">
        <v>46</v>
      </c>
      <c r="F123" s="2" t="s">
        <v>901</v>
      </c>
      <c r="G123" s="2" t="s">
        <v>902</v>
      </c>
      <c r="H123" s="2" t="s">
        <v>903</v>
      </c>
      <c r="I123" s="2" t="s">
        <v>904</v>
      </c>
      <c r="J123" s="2" t="s">
        <v>905</v>
      </c>
      <c r="K123" s="2" t="s">
        <v>51</v>
      </c>
      <c r="L123" s="2" t="s">
        <v>26</v>
      </c>
      <c r="M123" s="2" t="s">
        <v>26</v>
      </c>
      <c r="N123" s="2" t="s">
        <v>421</v>
      </c>
      <c r="O123" s="2" t="s">
        <v>52</v>
      </c>
      <c r="P123" s="2" t="s">
        <v>906</v>
      </c>
      <c r="Q123" s="2" t="s">
        <v>899</v>
      </c>
    </row>
    <row r="124" customFormat="false" ht="23.85" hidden="false" customHeight="false" outlineLevel="0" collapsed="false">
      <c r="A124" s="2" t="s">
        <v>907</v>
      </c>
      <c r="B124" s="2" t="n">
        <v>72</v>
      </c>
      <c r="C124" s="2" t="s">
        <v>908</v>
      </c>
      <c r="D124" s="2" t="s">
        <v>909</v>
      </c>
      <c r="E124" s="2" t="s">
        <v>34</v>
      </c>
      <c r="F124" s="2" t="s">
        <v>118</v>
      </c>
      <c r="G124" s="2" t="s">
        <v>119</v>
      </c>
      <c r="H124" s="2" t="s">
        <v>116</v>
      </c>
      <c r="I124" s="2" t="s">
        <v>213</v>
      </c>
      <c r="J124" s="2" t="s">
        <v>910</v>
      </c>
      <c r="K124" s="2" t="s">
        <v>25</v>
      </c>
      <c r="L124" s="2" t="s">
        <v>121</v>
      </c>
      <c r="M124" s="2" t="s">
        <v>26</v>
      </c>
      <c r="N124" s="2" t="s">
        <v>421</v>
      </c>
      <c r="O124" s="2" t="s">
        <v>428</v>
      </c>
      <c r="P124" s="2" t="s">
        <v>911</v>
      </c>
      <c r="Q124" s="2" t="s">
        <v>912</v>
      </c>
    </row>
    <row r="125" customFormat="false" ht="46.25" hidden="false" customHeight="false" outlineLevel="0" collapsed="false">
      <c r="A125" s="2" t="s">
        <v>913</v>
      </c>
      <c r="B125" s="2" t="n">
        <v>73</v>
      </c>
      <c r="C125" s="2" t="s">
        <v>914</v>
      </c>
      <c r="D125" s="2" t="s">
        <v>915</v>
      </c>
      <c r="E125" s="2" t="s">
        <v>46</v>
      </c>
      <c r="F125" s="2" t="s">
        <v>916</v>
      </c>
      <c r="G125" s="2" t="s">
        <v>917</v>
      </c>
      <c r="H125" s="2" t="s">
        <v>258</v>
      </c>
      <c r="I125" s="2" t="s">
        <v>259</v>
      </c>
      <c r="J125" s="2" t="s">
        <v>918</v>
      </c>
      <c r="K125" s="2" t="s">
        <v>111</v>
      </c>
      <c r="L125" s="2" t="s">
        <v>26</v>
      </c>
      <c r="M125" s="2" t="s">
        <v>26</v>
      </c>
      <c r="N125" s="2" t="s">
        <v>421</v>
      </c>
      <c r="O125" s="2" t="s">
        <v>52</v>
      </c>
      <c r="P125" s="2" t="s">
        <v>919</v>
      </c>
      <c r="Q125" s="2" t="s">
        <v>920</v>
      </c>
    </row>
    <row r="126" customFormat="false" ht="35.05" hidden="false" customHeight="false" outlineLevel="0" collapsed="false">
      <c r="A126" s="2" t="s">
        <v>921</v>
      </c>
      <c r="B126" s="2" t="n">
        <v>75</v>
      </c>
      <c r="C126" s="2" t="s">
        <v>170</v>
      </c>
      <c r="D126" s="2" t="s">
        <v>171</v>
      </c>
      <c r="E126" s="2" t="s">
        <v>58</v>
      </c>
      <c r="F126" s="2" t="s">
        <v>380</v>
      </c>
      <c r="G126" s="2" t="s">
        <v>381</v>
      </c>
      <c r="H126" s="2" t="s">
        <v>504</v>
      </c>
      <c r="I126" s="2" t="s">
        <v>922</v>
      </c>
      <c r="J126" s="2" t="s">
        <v>923</v>
      </c>
      <c r="K126" s="2" t="s">
        <v>111</v>
      </c>
      <c r="L126" s="2" t="s">
        <v>26</v>
      </c>
      <c r="M126" s="2" t="s">
        <v>26</v>
      </c>
      <c r="N126" s="2" t="s">
        <v>421</v>
      </c>
      <c r="O126" s="2" t="s">
        <v>132</v>
      </c>
      <c r="P126" s="2" t="s">
        <v>924</v>
      </c>
      <c r="Q126" s="2" t="s">
        <v>178</v>
      </c>
    </row>
    <row r="127" customFormat="false" ht="35.05" hidden="false" customHeight="false" outlineLevel="0" collapsed="false">
      <c r="A127" s="2" t="s">
        <v>925</v>
      </c>
      <c r="B127" s="2" t="n">
        <v>75</v>
      </c>
      <c r="C127" s="2" t="s">
        <v>170</v>
      </c>
      <c r="D127" s="2" t="s">
        <v>171</v>
      </c>
      <c r="E127" s="2" t="s">
        <v>20</v>
      </c>
      <c r="F127" s="2" t="s">
        <v>271</v>
      </c>
      <c r="G127" s="2" t="s">
        <v>272</v>
      </c>
      <c r="H127" s="2" t="s">
        <v>800</v>
      </c>
      <c r="I127" s="2" t="s">
        <v>801</v>
      </c>
      <c r="J127" s="2" t="s">
        <v>926</v>
      </c>
      <c r="K127" s="2" t="s">
        <v>111</v>
      </c>
      <c r="L127" s="2" t="s">
        <v>26</v>
      </c>
      <c r="M127" s="2" t="s">
        <v>26</v>
      </c>
      <c r="N127" s="2" t="s">
        <v>421</v>
      </c>
      <c r="O127" s="2" t="s">
        <v>28</v>
      </c>
      <c r="P127" s="2" t="s">
        <v>927</v>
      </c>
      <c r="Q127" s="2" t="s">
        <v>178</v>
      </c>
    </row>
    <row r="128" customFormat="false" ht="35.05" hidden="false" customHeight="false" outlineLevel="0" collapsed="false">
      <c r="A128" s="2" t="s">
        <v>928</v>
      </c>
      <c r="B128" s="2" t="n">
        <v>75</v>
      </c>
      <c r="C128" s="2" t="s">
        <v>170</v>
      </c>
      <c r="D128" s="2" t="s">
        <v>171</v>
      </c>
      <c r="E128" s="2" t="s">
        <v>46</v>
      </c>
      <c r="F128" s="2" t="s">
        <v>258</v>
      </c>
      <c r="G128" s="2" t="s">
        <v>259</v>
      </c>
      <c r="H128" s="2" t="s">
        <v>202</v>
      </c>
      <c r="I128" s="2" t="s">
        <v>929</v>
      </c>
      <c r="J128" s="2" t="s">
        <v>930</v>
      </c>
      <c r="K128" s="2" t="s">
        <v>51</v>
      </c>
      <c r="L128" s="2" t="s">
        <v>121</v>
      </c>
      <c r="M128" s="2" t="s">
        <v>26</v>
      </c>
      <c r="N128" s="2" t="s">
        <v>421</v>
      </c>
      <c r="O128" s="2" t="s">
        <v>52</v>
      </c>
      <c r="P128" s="2" t="s">
        <v>931</v>
      </c>
      <c r="Q128" s="2" t="s">
        <v>178</v>
      </c>
    </row>
    <row r="129" customFormat="false" ht="35.05" hidden="false" customHeight="false" outlineLevel="0" collapsed="false">
      <c r="A129" s="2" t="s">
        <v>932</v>
      </c>
      <c r="B129" s="2" t="n">
        <v>76</v>
      </c>
      <c r="C129" s="2" t="s">
        <v>933</v>
      </c>
      <c r="D129" s="2" t="s">
        <v>934</v>
      </c>
      <c r="E129" s="2" t="s">
        <v>89</v>
      </c>
      <c r="F129" s="2" t="s">
        <v>935</v>
      </c>
      <c r="G129" s="2" t="s">
        <v>936</v>
      </c>
      <c r="H129" s="2" t="s">
        <v>256</v>
      </c>
      <c r="I129" s="2" t="s">
        <v>764</v>
      </c>
      <c r="J129" s="2" t="s">
        <v>937</v>
      </c>
      <c r="K129" s="2" t="s">
        <v>51</v>
      </c>
      <c r="L129" s="2" t="s">
        <v>26</v>
      </c>
      <c r="M129" s="2" t="s">
        <v>26</v>
      </c>
      <c r="N129" s="2" t="s">
        <v>421</v>
      </c>
      <c r="O129" s="2" t="s">
        <v>52</v>
      </c>
      <c r="P129" s="2" t="s">
        <v>938</v>
      </c>
      <c r="Q129" s="2" t="s">
        <v>939</v>
      </c>
    </row>
    <row r="130" customFormat="false" ht="35.05" hidden="false" customHeight="false" outlineLevel="0" collapsed="false">
      <c r="A130" s="2" t="s">
        <v>940</v>
      </c>
      <c r="B130" s="2" t="n">
        <v>76</v>
      </c>
      <c r="C130" s="2" t="s">
        <v>933</v>
      </c>
      <c r="D130" s="2" t="s">
        <v>934</v>
      </c>
      <c r="E130" s="2" t="s">
        <v>46</v>
      </c>
      <c r="F130" s="2" t="s">
        <v>256</v>
      </c>
      <c r="G130" s="2" t="s">
        <v>764</v>
      </c>
      <c r="H130" s="2" t="s">
        <v>258</v>
      </c>
      <c r="I130" s="2" t="s">
        <v>259</v>
      </c>
      <c r="J130" s="2" t="s">
        <v>256</v>
      </c>
      <c r="K130" s="2" t="s">
        <v>51</v>
      </c>
      <c r="L130" s="2" t="s">
        <v>121</v>
      </c>
      <c r="M130" s="2" t="s">
        <v>26</v>
      </c>
      <c r="N130" s="2" t="s">
        <v>421</v>
      </c>
      <c r="O130" s="2" t="s">
        <v>52</v>
      </c>
      <c r="P130" s="2" t="s">
        <v>941</v>
      </c>
      <c r="Q130" s="2" t="s">
        <v>939</v>
      </c>
    </row>
    <row r="131" customFormat="false" ht="35.05" hidden="false" customHeight="false" outlineLevel="0" collapsed="false">
      <c r="A131" s="2" t="s">
        <v>942</v>
      </c>
      <c r="B131" s="2" t="n">
        <v>77</v>
      </c>
      <c r="C131" s="2" t="s">
        <v>180</v>
      </c>
      <c r="D131" s="2" t="s">
        <v>181</v>
      </c>
      <c r="E131" s="2" t="s">
        <v>89</v>
      </c>
      <c r="F131" s="2" t="s">
        <v>943</v>
      </c>
      <c r="G131" s="2" t="s">
        <v>944</v>
      </c>
      <c r="H131" s="2" t="s">
        <v>697</v>
      </c>
      <c r="I131" s="2" t="s">
        <v>945</v>
      </c>
      <c r="J131" s="2" t="s">
        <v>946</v>
      </c>
      <c r="K131" s="2" t="s">
        <v>187</v>
      </c>
      <c r="L131" s="2" t="s">
        <v>26</v>
      </c>
      <c r="M131" s="2" t="s">
        <v>26</v>
      </c>
      <c r="N131" s="2" t="s">
        <v>421</v>
      </c>
      <c r="O131" s="2" t="s">
        <v>52</v>
      </c>
      <c r="P131" s="2" t="s">
        <v>947</v>
      </c>
      <c r="Q131" s="2" t="s">
        <v>190</v>
      </c>
    </row>
    <row r="132" customFormat="false" ht="23.85" hidden="false" customHeight="false" outlineLevel="0" collapsed="false">
      <c r="A132" s="2" t="s">
        <v>948</v>
      </c>
      <c r="B132" s="2" t="n">
        <v>78</v>
      </c>
      <c r="C132" s="2" t="s">
        <v>949</v>
      </c>
      <c r="D132" s="2" t="s">
        <v>950</v>
      </c>
      <c r="E132" s="2" t="s">
        <v>20</v>
      </c>
      <c r="F132" s="2" t="s">
        <v>472</v>
      </c>
      <c r="G132" s="2" t="s">
        <v>473</v>
      </c>
      <c r="H132" s="2" t="s">
        <v>474</v>
      </c>
      <c r="I132" s="2" t="s">
        <v>475</v>
      </c>
      <c r="J132" s="2" t="s">
        <v>476</v>
      </c>
      <c r="K132" s="2" t="s">
        <v>25</v>
      </c>
      <c r="L132" s="2" t="s">
        <v>121</v>
      </c>
      <c r="M132" s="2" t="s">
        <v>26</v>
      </c>
      <c r="N132" s="2" t="s">
        <v>421</v>
      </c>
      <c r="O132" s="2" t="s">
        <v>28</v>
      </c>
      <c r="P132" s="2" t="s">
        <v>951</v>
      </c>
      <c r="Q132" s="2" t="s">
        <v>952</v>
      </c>
    </row>
    <row r="133" customFormat="false" ht="23.85" hidden="false" customHeight="false" outlineLevel="0" collapsed="false">
      <c r="A133" s="2" t="s">
        <v>953</v>
      </c>
      <c r="B133" s="2" t="n">
        <v>78</v>
      </c>
      <c r="C133" s="2" t="s">
        <v>949</v>
      </c>
      <c r="D133" s="2" t="s">
        <v>950</v>
      </c>
      <c r="E133" s="2" t="s">
        <v>89</v>
      </c>
      <c r="F133" s="2" t="s">
        <v>954</v>
      </c>
      <c r="G133" s="2" t="s">
        <v>955</v>
      </c>
      <c r="H133" s="2" t="s">
        <v>956</v>
      </c>
      <c r="I133" s="2" t="s">
        <v>957</v>
      </c>
      <c r="J133" s="2" t="s">
        <v>958</v>
      </c>
      <c r="K133" s="2" t="s">
        <v>187</v>
      </c>
      <c r="L133" s="2" t="s">
        <v>121</v>
      </c>
      <c r="M133" s="2" t="s">
        <v>26</v>
      </c>
      <c r="N133" s="2" t="s">
        <v>421</v>
      </c>
      <c r="O133" s="2" t="s">
        <v>52</v>
      </c>
      <c r="P133" s="2" t="s">
        <v>959</v>
      </c>
      <c r="Q133" s="2" t="s">
        <v>952</v>
      </c>
    </row>
    <row r="134" customFormat="false" ht="35.05" hidden="false" customHeight="false" outlineLevel="0" collapsed="false">
      <c r="A134" s="2" t="s">
        <v>960</v>
      </c>
      <c r="B134" s="2" t="n">
        <v>79</v>
      </c>
      <c r="C134" s="2" t="s">
        <v>961</v>
      </c>
      <c r="D134" s="2" t="s">
        <v>962</v>
      </c>
      <c r="E134" s="2" t="s">
        <v>34</v>
      </c>
      <c r="F134" s="2" t="s">
        <v>963</v>
      </c>
      <c r="G134" s="2" t="s">
        <v>964</v>
      </c>
      <c r="H134" s="2" t="s">
        <v>965</v>
      </c>
      <c r="I134" s="2" t="s">
        <v>966</v>
      </c>
      <c r="J134" s="2" t="s">
        <v>967</v>
      </c>
      <c r="K134" s="2" t="s">
        <v>25</v>
      </c>
      <c r="L134" s="2" t="s">
        <v>121</v>
      </c>
      <c r="M134" s="2" t="s">
        <v>26</v>
      </c>
      <c r="N134" s="2" t="s">
        <v>421</v>
      </c>
      <c r="O134" s="2" t="s">
        <v>428</v>
      </c>
      <c r="P134" s="2" t="s">
        <v>968</v>
      </c>
      <c r="Q134" s="2" t="s">
        <v>969</v>
      </c>
    </row>
    <row r="135" customFormat="false" ht="23.85" hidden="false" customHeight="false" outlineLevel="0" collapsed="false">
      <c r="A135" s="2" t="s">
        <v>970</v>
      </c>
      <c r="B135" s="2" t="n">
        <v>81</v>
      </c>
      <c r="C135" s="2" t="s">
        <v>971</v>
      </c>
      <c r="D135" s="2" t="s">
        <v>379</v>
      </c>
      <c r="E135" s="2" t="s">
        <v>34</v>
      </c>
      <c r="F135" s="2" t="s">
        <v>35</v>
      </c>
      <c r="G135" s="2" t="s">
        <v>36</v>
      </c>
      <c r="H135" s="2" t="s">
        <v>37</v>
      </c>
      <c r="I135" s="2" t="s">
        <v>38</v>
      </c>
      <c r="J135" s="2" t="s">
        <v>972</v>
      </c>
      <c r="K135" s="2" t="s">
        <v>25</v>
      </c>
      <c r="L135" s="2" t="s">
        <v>121</v>
      </c>
      <c r="M135" s="2" t="s">
        <v>26</v>
      </c>
      <c r="N135" s="2" t="s">
        <v>421</v>
      </c>
      <c r="O135" s="2" t="s">
        <v>428</v>
      </c>
      <c r="P135" s="2" t="s">
        <v>973</v>
      </c>
      <c r="Q135" s="2" t="s">
        <v>974</v>
      </c>
    </row>
    <row r="136" customFormat="false" ht="35.05" hidden="false" customHeight="false" outlineLevel="0" collapsed="false">
      <c r="A136" s="2" t="s">
        <v>975</v>
      </c>
      <c r="B136" s="2" t="n">
        <v>82</v>
      </c>
      <c r="C136" s="2" t="s">
        <v>976</v>
      </c>
      <c r="D136" s="2" t="s">
        <v>977</v>
      </c>
      <c r="E136" s="2" t="s">
        <v>20</v>
      </c>
      <c r="F136" s="2" t="s">
        <v>697</v>
      </c>
      <c r="G136" s="2" t="s">
        <v>698</v>
      </c>
      <c r="H136" s="2" t="s">
        <v>601</v>
      </c>
      <c r="I136" s="2" t="s">
        <v>602</v>
      </c>
      <c r="J136" s="2" t="s">
        <v>978</v>
      </c>
      <c r="K136" s="2" t="s">
        <v>51</v>
      </c>
      <c r="L136" s="2" t="s">
        <v>26</v>
      </c>
      <c r="M136" s="2" t="s">
        <v>26</v>
      </c>
      <c r="N136" s="2" t="s">
        <v>421</v>
      </c>
      <c r="O136" s="2" t="s">
        <v>500</v>
      </c>
      <c r="P136" s="2" t="s">
        <v>979</v>
      </c>
      <c r="Q136" s="2" t="s">
        <v>980</v>
      </c>
    </row>
    <row r="137" customFormat="false" ht="35.05" hidden="false" customHeight="false" outlineLevel="0" collapsed="false">
      <c r="A137" s="2" t="s">
        <v>981</v>
      </c>
      <c r="B137" s="2" t="n">
        <v>82</v>
      </c>
      <c r="C137" s="2" t="s">
        <v>976</v>
      </c>
      <c r="D137" s="2" t="s">
        <v>977</v>
      </c>
      <c r="E137" s="2" t="s">
        <v>34</v>
      </c>
      <c r="F137" s="2" t="s">
        <v>298</v>
      </c>
      <c r="G137" s="2" t="s">
        <v>686</v>
      </c>
      <c r="H137" s="2" t="s">
        <v>982</v>
      </c>
      <c r="I137" s="2" t="s">
        <v>983</v>
      </c>
      <c r="J137" s="2" t="s">
        <v>984</v>
      </c>
      <c r="K137" s="2" t="s">
        <v>25</v>
      </c>
      <c r="L137" s="2" t="s">
        <v>121</v>
      </c>
      <c r="M137" s="2" t="s">
        <v>26</v>
      </c>
      <c r="N137" s="2" t="s">
        <v>421</v>
      </c>
      <c r="O137" s="2" t="s">
        <v>428</v>
      </c>
      <c r="P137" s="2" t="s">
        <v>985</v>
      </c>
      <c r="Q137" s="2" t="s">
        <v>980</v>
      </c>
    </row>
    <row r="138" customFormat="false" ht="23.85" hidden="false" customHeight="false" outlineLevel="0" collapsed="false">
      <c r="A138" s="2" t="s">
        <v>986</v>
      </c>
      <c r="B138" s="2" t="n">
        <v>83</v>
      </c>
      <c r="C138" s="2" t="s">
        <v>378</v>
      </c>
      <c r="D138" s="2" t="s">
        <v>379</v>
      </c>
      <c r="E138" s="2" t="s">
        <v>34</v>
      </c>
      <c r="F138" s="2" t="s">
        <v>987</v>
      </c>
      <c r="G138" s="2" t="s">
        <v>988</v>
      </c>
      <c r="H138" s="2" t="s">
        <v>989</v>
      </c>
      <c r="I138" s="2" t="s">
        <v>990</v>
      </c>
      <c r="J138" s="2" t="s">
        <v>991</v>
      </c>
      <c r="K138" s="2" t="s">
        <v>25</v>
      </c>
      <c r="L138" s="2" t="s">
        <v>26</v>
      </c>
      <c r="M138" s="2" t="s">
        <v>26</v>
      </c>
      <c r="N138" s="2" t="s">
        <v>421</v>
      </c>
      <c r="O138" s="2" t="s">
        <v>428</v>
      </c>
      <c r="P138" s="2" t="s">
        <v>992</v>
      </c>
      <c r="Q138" s="2" t="s">
        <v>384</v>
      </c>
    </row>
    <row r="139" customFormat="false" ht="23.85" hidden="false" customHeight="false" outlineLevel="0" collapsed="false">
      <c r="A139" s="2" t="s">
        <v>993</v>
      </c>
      <c r="B139" s="2" t="n">
        <v>83</v>
      </c>
      <c r="C139" s="2" t="s">
        <v>378</v>
      </c>
      <c r="D139" s="2" t="s">
        <v>379</v>
      </c>
      <c r="E139" s="2" t="s">
        <v>46</v>
      </c>
      <c r="F139" s="2" t="s">
        <v>258</v>
      </c>
      <c r="G139" s="2" t="s">
        <v>259</v>
      </c>
      <c r="H139" s="2" t="s">
        <v>994</v>
      </c>
      <c r="I139" s="2" t="s">
        <v>995</v>
      </c>
      <c r="J139" s="2" t="s">
        <v>996</v>
      </c>
      <c r="K139" s="2" t="s">
        <v>51</v>
      </c>
      <c r="L139" s="2" t="s">
        <v>121</v>
      </c>
      <c r="M139" s="2" t="s">
        <v>26</v>
      </c>
      <c r="N139" s="2" t="s">
        <v>421</v>
      </c>
      <c r="O139" s="2" t="s">
        <v>52</v>
      </c>
      <c r="P139" s="2" t="s">
        <v>997</v>
      </c>
      <c r="Q139" s="2" t="s">
        <v>384</v>
      </c>
    </row>
    <row r="140" customFormat="false" ht="46.25" hidden="false" customHeight="false" outlineLevel="0" collapsed="false">
      <c r="A140" s="2" t="s">
        <v>998</v>
      </c>
      <c r="B140" s="2" t="n">
        <v>84</v>
      </c>
      <c r="C140" s="2" t="s">
        <v>999</v>
      </c>
      <c r="D140" s="2" t="s">
        <v>1000</v>
      </c>
      <c r="E140" s="2" t="s">
        <v>58</v>
      </c>
      <c r="F140" s="2" t="s">
        <v>506</v>
      </c>
      <c r="G140" s="2" t="s">
        <v>507</v>
      </c>
      <c r="H140" s="2" t="s">
        <v>504</v>
      </c>
      <c r="I140" s="2" t="s">
        <v>922</v>
      </c>
      <c r="J140" s="2" t="s">
        <v>1001</v>
      </c>
      <c r="K140" s="2" t="s">
        <v>25</v>
      </c>
      <c r="L140" s="2" t="s">
        <v>121</v>
      </c>
      <c r="M140" s="2" t="s">
        <v>26</v>
      </c>
      <c r="N140" s="2" t="s">
        <v>421</v>
      </c>
      <c r="O140" s="2" t="s">
        <v>132</v>
      </c>
      <c r="P140" s="2" t="s">
        <v>1002</v>
      </c>
      <c r="Q140" s="2" t="s">
        <v>1003</v>
      </c>
    </row>
    <row r="141" customFormat="false" ht="46.25" hidden="false" customHeight="false" outlineLevel="0" collapsed="false">
      <c r="A141" s="2" t="s">
        <v>1004</v>
      </c>
      <c r="B141" s="2" t="n">
        <v>84</v>
      </c>
      <c r="C141" s="2" t="s">
        <v>999</v>
      </c>
      <c r="D141" s="2" t="s">
        <v>1000</v>
      </c>
      <c r="E141" s="2" t="s">
        <v>89</v>
      </c>
      <c r="F141" s="2" t="s">
        <v>609</v>
      </c>
      <c r="G141" s="2" t="s">
        <v>610</v>
      </c>
      <c r="H141" s="2" t="s">
        <v>1005</v>
      </c>
      <c r="I141" s="2" t="s">
        <v>1006</v>
      </c>
      <c r="J141" s="2" t="s">
        <v>1007</v>
      </c>
      <c r="K141" s="2" t="s">
        <v>25</v>
      </c>
      <c r="L141" s="2" t="s">
        <v>26</v>
      </c>
      <c r="M141" s="2" t="s">
        <v>26</v>
      </c>
      <c r="N141" s="2" t="s">
        <v>421</v>
      </c>
      <c r="O141" s="2" t="s">
        <v>52</v>
      </c>
      <c r="P141" s="2" t="s">
        <v>1008</v>
      </c>
      <c r="Q141" s="2" t="s">
        <v>1003</v>
      </c>
    </row>
    <row r="142" customFormat="false" ht="46.25" hidden="false" customHeight="false" outlineLevel="0" collapsed="false">
      <c r="A142" s="2" t="s">
        <v>1009</v>
      </c>
      <c r="B142" s="2" t="n">
        <v>84</v>
      </c>
      <c r="C142" s="2" t="s">
        <v>999</v>
      </c>
      <c r="D142" s="2" t="s">
        <v>1000</v>
      </c>
      <c r="E142" s="2" t="s">
        <v>46</v>
      </c>
      <c r="F142" s="2" t="s">
        <v>69</v>
      </c>
      <c r="G142" s="2" t="s">
        <v>164</v>
      </c>
      <c r="H142" s="2" t="s">
        <v>1010</v>
      </c>
      <c r="I142" s="2" t="s">
        <v>1011</v>
      </c>
      <c r="J142" s="2" t="s">
        <v>1012</v>
      </c>
      <c r="K142" s="2" t="s">
        <v>111</v>
      </c>
      <c r="L142" s="2" t="s">
        <v>26</v>
      </c>
      <c r="M142" s="2" t="s">
        <v>26</v>
      </c>
      <c r="N142" s="2" t="s">
        <v>421</v>
      </c>
      <c r="O142" s="2" t="s">
        <v>52</v>
      </c>
      <c r="P142" s="2" t="s">
        <v>1013</v>
      </c>
      <c r="Q142" s="2" t="s">
        <v>1003</v>
      </c>
    </row>
    <row r="143" customFormat="false" ht="23.85" hidden="false" customHeight="false" outlineLevel="0" collapsed="false">
      <c r="A143" s="2" t="s">
        <v>1014</v>
      </c>
      <c r="B143" s="2" t="n">
        <v>86</v>
      </c>
      <c r="C143" s="2" t="s">
        <v>1015</v>
      </c>
      <c r="D143" s="2" t="s">
        <v>1016</v>
      </c>
      <c r="E143" s="2" t="s">
        <v>34</v>
      </c>
      <c r="F143" s="2" t="s">
        <v>1017</v>
      </c>
      <c r="G143" s="2" t="s">
        <v>1018</v>
      </c>
      <c r="H143" s="2" t="s">
        <v>1019</v>
      </c>
      <c r="I143" s="2" t="s">
        <v>1020</v>
      </c>
      <c r="J143" s="2" t="s">
        <v>1021</v>
      </c>
      <c r="K143" s="2" t="s">
        <v>187</v>
      </c>
      <c r="L143" s="2" t="s">
        <v>121</v>
      </c>
      <c r="M143" s="2" t="s">
        <v>26</v>
      </c>
      <c r="N143" s="2" t="s">
        <v>421</v>
      </c>
      <c r="O143" s="2" t="s">
        <v>428</v>
      </c>
      <c r="P143" s="2" t="s">
        <v>1022</v>
      </c>
      <c r="Q143" s="2" t="s">
        <v>1023</v>
      </c>
    </row>
    <row r="144" customFormat="false" ht="57.45" hidden="false" customHeight="false" outlineLevel="0" collapsed="false">
      <c r="A144" s="2" t="s">
        <v>1024</v>
      </c>
      <c r="B144" s="2" t="n">
        <v>87</v>
      </c>
      <c r="C144" s="2" t="s">
        <v>200</v>
      </c>
      <c r="D144" s="2" t="s">
        <v>201</v>
      </c>
      <c r="E144" s="2" t="s">
        <v>34</v>
      </c>
      <c r="F144" s="2" t="s">
        <v>1025</v>
      </c>
      <c r="G144" s="2" t="s">
        <v>1026</v>
      </c>
      <c r="H144" s="2" t="s">
        <v>1027</v>
      </c>
      <c r="I144" s="2" t="s">
        <v>1028</v>
      </c>
      <c r="J144" s="2" t="s">
        <v>1029</v>
      </c>
      <c r="K144" s="2" t="s">
        <v>187</v>
      </c>
      <c r="L144" s="2" t="s">
        <v>26</v>
      </c>
      <c r="M144" s="2" t="s">
        <v>26</v>
      </c>
      <c r="N144" s="2" t="s">
        <v>421</v>
      </c>
      <c r="O144" s="2" t="s">
        <v>428</v>
      </c>
      <c r="P144" s="2" t="s">
        <v>1030</v>
      </c>
      <c r="Q144" s="2" t="s">
        <v>208</v>
      </c>
    </row>
    <row r="145" customFormat="false" ht="23.85" hidden="false" customHeight="false" outlineLevel="0" collapsed="false">
      <c r="A145" s="2" t="s">
        <v>1031</v>
      </c>
      <c r="B145" s="2" t="n">
        <v>88</v>
      </c>
      <c r="C145" s="2" t="s">
        <v>1032</v>
      </c>
      <c r="D145" s="2" t="s">
        <v>1033</v>
      </c>
      <c r="E145" s="2" t="s">
        <v>58</v>
      </c>
      <c r="F145" s="2" t="s">
        <v>1034</v>
      </c>
      <c r="G145" s="2" t="s">
        <v>1035</v>
      </c>
      <c r="H145" s="2" t="s">
        <v>1036</v>
      </c>
      <c r="I145" s="2" t="s">
        <v>1037</v>
      </c>
      <c r="J145" s="2" t="s">
        <v>1038</v>
      </c>
      <c r="K145" s="2" t="s">
        <v>25</v>
      </c>
      <c r="L145" s="2" t="s">
        <v>26</v>
      </c>
      <c r="M145" s="2" t="s">
        <v>26</v>
      </c>
      <c r="N145" s="2" t="s">
        <v>421</v>
      </c>
      <c r="O145" s="2" t="s">
        <v>63</v>
      </c>
      <c r="P145" s="2" t="s">
        <v>1039</v>
      </c>
      <c r="Q145" s="2" t="s">
        <v>1040</v>
      </c>
    </row>
    <row r="146" customFormat="false" ht="23.85" hidden="false" customHeight="false" outlineLevel="0" collapsed="false">
      <c r="A146" s="2" t="s">
        <v>1041</v>
      </c>
      <c r="B146" s="2" t="n">
        <v>88</v>
      </c>
      <c r="C146" s="2" t="s">
        <v>1032</v>
      </c>
      <c r="D146" s="2" t="s">
        <v>1033</v>
      </c>
      <c r="E146" s="2" t="s">
        <v>89</v>
      </c>
      <c r="F146" s="2" t="s">
        <v>1042</v>
      </c>
      <c r="G146" s="2" t="s">
        <v>1043</v>
      </c>
      <c r="H146" s="2" t="s">
        <v>1044</v>
      </c>
      <c r="I146" s="2" t="s">
        <v>1045</v>
      </c>
      <c r="J146" s="2" t="s">
        <v>1046</v>
      </c>
      <c r="K146" s="2" t="s">
        <v>51</v>
      </c>
      <c r="L146" s="2" t="s">
        <v>26</v>
      </c>
      <c r="M146" s="2" t="s">
        <v>26</v>
      </c>
      <c r="N146" s="2" t="s">
        <v>421</v>
      </c>
      <c r="O146" s="2" t="s">
        <v>52</v>
      </c>
      <c r="P146" s="2" t="s">
        <v>1047</v>
      </c>
      <c r="Q146" s="2" t="s">
        <v>1040</v>
      </c>
    </row>
    <row r="147" customFormat="false" ht="23.85" hidden="false" customHeight="false" outlineLevel="0" collapsed="false">
      <c r="A147" s="2" t="s">
        <v>1048</v>
      </c>
      <c r="B147" s="2" t="n">
        <v>88</v>
      </c>
      <c r="C147" s="2" t="s">
        <v>1032</v>
      </c>
      <c r="D147" s="2" t="s">
        <v>1033</v>
      </c>
      <c r="E147" s="2" t="s">
        <v>46</v>
      </c>
      <c r="F147" s="2" t="s">
        <v>1044</v>
      </c>
      <c r="G147" s="2" t="s">
        <v>1049</v>
      </c>
      <c r="H147" s="2" t="s">
        <v>258</v>
      </c>
      <c r="I147" s="2" t="s">
        <v>259</v>
      </c>
      <c r="J147" s="2" t="s">
        <v>69</v>
      </c>
      <c r="K147" s="2" t="s">
        <v>51</v>
      </c>
      <c r="L147" s="2" t="s">
        <v>26</v>
      </c>
      <c r="M147" s="2" t="s">
        <v>26</v>
      </c>
      <c r="N147" s="2" t="s">
        <v>421</v>
      </c>
      <c r="O147" s="2" t="s">
        <v>52</v>
      </c>
      <c r="P147" s="2" t="s">
        <v>941</v>
      </c>
      <c r="Q147" s="2" t="s">
        <v>1040</v>
      </c>
    </row>
    <row r="148" customFormat="false" ht="35.05" hidden="false" customHeight="false" outlineLevel="0" collapsed="false">
      <c r="A148" s="2" t="s">
        <v>1050</v>
      </c>
      <c r="B148" s="2" t="n">
        <v>90</v>
      </c>
      <c r="C148" s="2" t="s">
        <v>1051</v>
      </c>
      <c r="D148" s="2" t="s">
        <v>1052</v>
      </c>
      <c r="E148" s="2" t="s">
        <v>34</v>
      </c>
      <c r="F148" s="2" t="s">
        <v>390</v>
      </c>
      <c r="G148" s="2" t="s">
        <v>391</v>
      </c>
      <c r="H148" s="2" t="s">
        <v>557</v>
      </c>
      <c r="I148" s="2" t="s">
        <v>558</v>
      </c>
      <c r="J148" s="2" t="s">
        <v>1053</v>
      </c>
      <c r="K148" s="2" t="s">
        <v>111</v>
      </c>
      <c r="L148" s="2" t="s">
        <v>26</v>
      </c>
      <c r="M148" s="2" t="s">
        <v>26</v>
      </c>
      <c r="N148" s="2" t="s">
        <v>421</v>
      </c>
      <c r="O148" s="2" t="s">
        <v>428</v>
      </c>
      <c r="P148" s="2" t="s">
        <v>1054</v>
      </c>
      <c r="Q148" s="2" t="s">
        <v>1055</v>
      </c>
    </row>
    <row r="149" customFormat="false" ht="35.05" hidden="false" customHeight="false" outlineLevel="0" collapsed="false">
      <c r="A149" s="2" t="s">
        <v>1056</v>
      </c>
      <c r="B149" s="2" t="n">
        <v>96</v>
      </c>
      <c r="C149" s="2" t="s">
        <v>1057</v>
      </c>
      <c r="D149" s="2" t="s">
        <v>1058</v>
      </c>
      <c r="E149" s="2" t="s">
        <v>46</v>
      </c>
      <c r="F149" s="2" t="s">
        <v>1059</v>
      </c>
      <c r="G149" s="2" t="s">
        <v>1060</v>
      </c>
      <c r="H149" s="2" t="s">
        <v>1061</v>
      </c>
      <c r="I149" s="2" t="s">
        <v>1062</v>
      </c>
      <c r="J149" s="2" t="s">
        <v>1063</v>
      </c>
      <c r="K149" s="2" t="s">
        <v>111</v>
      </c>
      <c r="L149" s="2" t="s">
        <v>26</v>
      </c>
      <c r="M149" s="2" t="s">
        <v>26</v>
      </c>
      <c r="N149" s="2" t="s">
        <v>421</v>
      </c>
      <c r="O149" s="2" t="s">
        <v>52</v>
      </c>
      <c r="P149" s="2" t="s">
        <v>813</v>
      </c>
      <c r="Q149" s="2" t="s">
        <v>1064</v>
      </c>
    </row>
    <row r="150" customFormat="false" ht="23.85" hidden="false" customHeight="false" outlineLevel="0" collapsed="false">
      <c r="A150" s="2" t="s">
        <v>1065</v>
      </c>
      <c r="B150" s="2" t="n">
        <v>100</v>
      </c>
      <c r="C150" s="2" t="s">
        <v>1066</v>
      </c>
      <c r="D150" s="2" t="s">
        <v>1067</v>
      </c>
      <c r="E150" s="2" t="s">
        <v>46</v>
      </c>
      <c r="F150" s="2" t="s">
        <v>220</v>
      </c>
      <c r="G150" s="2" t="s">
        <v>221</v>
      </c>
      <c r="H150" s="2" t="s">
        <v>47</v>
      </c>
      <c r="I150" s="2" t="s">
        <v>48</v>
      </c>
      <c r="J150" s="2" t="s">
        <v>1068</v>
      </c>
      <c r="K150" s="2" t="s">
        <v>25</v>
      </c>
      <c r="L150" s="2" t="s">
        <v>26</v>
      </c>
      <c r="M150" s="2" t="s">
        <v>26</v>
      </c>
      <c r="N150" s="2" t="s">
        <v>421</v>
      </c>
      <c r="O150" s="2" t="s">
        <v>52</v>
      </c>
      <c r="P150" s="2" t="s">
        <v>1069</v>
      </c>
      <c r="Q150" s="2" t="s">
        <v>1070</v>
      </c>
    </row>
    <row r="151" customFormat="false" ht="35.05" hidden="false" customHeight="false" outlineLevel="0" collapsed="false">
      <c r="A151" s="2" t="s">
        <v>1071</v>
      </c>
      <c r="B151" s="2" t="n">
        <v>1</v>
      </c>
      <c r="C151" s="2" t="s">
        <v>417</v>
      </c>
      <c r="D151" s="2" t="s">
        <v>418</v>
      </c>
      <c r="E151" s="2" t="s">
        <v>20</v>
      </c>
      <c r="F151" s="2" t="s">
        <v>1072</v>
      </c>
      <c r="G151" s="2" t="s">
        <v>1073</v>
      </c>
      <c r="H151" s="2" t="s">
        <v>1074</v>
      </c>
      <c r="I151" s="2" t="s">
        <v>1075</v>
      </c>
      <c r="J151" s="2" t="s">
        <v>1076</v>
      </c>
      <c r="K151" s="2" t="s">
        <v>25</v>
      </c>
      <c r="L151" s="2" t="s">
        <v>121</v>
      </c>
      <c r="M151" s="2" t="s">
        <v>26</v>
      </c>
      <c r="N151" s="2" t="s">
        <v>1077</v>
      </c>
      <c r="O151" s="2" t="s">
        <v>28</v>
      </c>
      <c r="P151" s="2" t="s">
        <v>1078</v>
      </c>
      <c r="Q151" s="2" t="s">
        <v>423</v>
      </c>
    </row>
    <row r="152" customFormat="false" ht="23.85" hidden="false" customHeight="false" outlineLevel="0" collapsed="false">
      <c r="A152" s="2" t="s">
        <v>1079</v>
      </c>
      <c r="B152" s="2" t="n">
        <v>3</v>
      </c>
      <c r="C152" s="2" t="s">
        <v>438</v>
      </c>
      <c r="D152" s="2" t="s">
        <v>439</v>
      </c>
      <c r="E152" s="2" t="s">
        <v>34</v>
      </c>
      <c r="F152" s="2" t="s">
        <v>1080</v>
      </c>
      <c r="G152" s="2" t="s">
        <v>1081</v>
      </c>
      <c r="H152" s="2" t="s">
        <v>1082</v>
      </c>
      <c r="I152" s="2" t="s">
        <v>1083</v>
      </c>
      <c r="J152" s="2" t="s">
        <v>1084</v>
      </c>
      <c r="K152" s="2" t="s">
        <v>187</v>
      </c>
      <c r="L152" s="2" t="s">
        <v>121</v>
      </c>
      <c r="M152" s="2" t="s">
        <v>26</v>
      </c>
      <c r="N152" s="2" t="s">
        <v>1077</v>
      </c>
      <c r="O152" s="2" t="s">
        <v>40</v>
      </c>
      <c r="P152" s="2" t="s">
        <v>1085</v>
      </c>
      <c r="Q152" s="2" t="s">
        <v>444</v>
      </c>
    </row>
    <row r="153" customFormat="false" ht="23.85" hidden="false" customHeight="false" outlineLevel="0" collapsed="false">
      <c r="A153" s="2" t="s">
        <v>1086</v>
      </c>
      <c r="B153" s="2" t="n">
        <v>6</v>
      </c>
      <c r="C153" s="2" t="s">
        <v>1087</v>
      </c>
      <c r="D153" s="2" t="s">
        <v>1088</v>
      </c>
      <c r="E153" s="2" t="s">
        <v>46</v>
      </c>
      <c r="F153" s="2" t="s">
        <v>1089</v>
      </c>
      <c r="G153" s="2" t="s">
        <v>1090</v>
      </c>
      <c r="H153" s="2" t="s">
        <v>69</v>
      </c>
      <c r="I153" s="2" t="s">
        <v>255</v>
      </c>
      <c r="J153" s="2" t="s">
        <v>1091</v>
      </c>
      <c r="K153" s="2" t="s">
        <v>51</v>
      </c>
      <c r="L153" s="2" t="s">
        <v>26</v>
      </c>
      <c r="M153" s="2" t="s">
        <v>26</v>
      </c>
      <c r="N153" s="2" t="s">
        <v>1077</v>
      </c>
      <c r="O153" s="2" t="s">
        <v>52</v>
      </c>
      <c r="P153" s="2" t="s">
        <v>1092</v>
      </c>
      <c r="Q153" s="2" t="s">
        <v>1093</v>
      </c>
    </row>
    <row r="154" customFormat="false" ht="23.85" hidden="false" customHeight="false" outlineLevel="0" collapsed="false">
      <c r="A154" s="2" t="s">
        <v>1094</v>
      </c>
      <c r="B154" s="2" t="n">
        <v>7</v>
      </c>
      <c r="C154" s="2" t="s">
        <v>1095</v>
      </c>
      <c r="D154" s="2" t="s">
        <v>1096</v>
      </c>
      <c r="E154" s="2" t="s">
        <v>58</v>
      </c>
      <c r="F154" s="2" t="s">
        <v>1097</v>
      </c>
      <c r="G154" s="2" t="s">
        <v>1098</v>
      </c>
      <c r="H154" s="2" t="s">
        <v>1099</v>
      </c>
      <c r="I154" s="2" t="s">
        <v>1100</v>
      </c>
      <c r="J154" s="2" t="s">
        <v>1101</v>
      </c>
      <c r="K154" s="2" t="s">
        <v>187</v>
      </c>
      <c r="L154" s="2" t="s">
        <v>121</v>
      </c>
      <c r="M154" s="2" t="s">
        <v>26</v>
      </c>
      <c r="N154" s="2" t="s">
        <v>1077</v>
      </c>
      <c r="O154" s="2" t="s">
        <v>63</v>
      </c>
      <c r="P154" s="2" t="s">
        <v>1102</v>
      </c>
      <c r="Q154" s="2" t="s">
        <v>1103</v>
      </c>
    </row>
    <row r="155" customFormat="false" ht="23.85" hidden="false" customHeight="false" outlineLevel="0" collapsed="false">
      <c r="A155" s="2" t="s">
        <v>1104</v>
      </c>
      <c r="B155" s="2" t="n">
        <v>7</v>
      </c>
      <c r="C155" s="2" t="s">
        <v>1095</v>
      </c>
      <c r="D155" s="2" t="s">
        <v>1096</v>
      </c>
      <c r="E155" s="2" t="s">
        <v>20</v>
      </c>
      <c r="F155" s="2" t="s">
        <v>1072</v>
      </c>
      <c r="G155" s="2" t="s">
        <v>1073</v>
      </c>
      <c r="H155" s="2" t="s">
        <v>1074</v>
      </c>
      <c r="I155" s="2" t="s">
        <v>1075</v>
      </c>
      <c r="J155" s="2" t="s">
        <v>1105</v>
      </c>
      <c r="K155" s="2" t="s">
        <v>25</v>
      </c>
      <c r="L155" s="2" t="s">
        <v>121</v>
      </c>
      <c r="M155" s="2" t="s">
        <v>26</v>
      </c>
      <c r="N155" s="2" t="s">
        <v>1077</v>
      </c>
      <c r="O155" s="2" t="s">
        <v>28</v>
      </c>
      <c r="P155" s="2" t="s">
        <v>1106</v>
      </c>
      <c r="Q155" s="2" t="s">
        <v>1103</v>
      </c>
    </row>
    <row r="156" customFormat="false" ht="46.25" hidden="false" customHeight="false" outlineLevel="0" collapsed="false">
      <c r="A156" s="2" t="s">
        <v>1107</v>
      </c>
      <c r="B156" s="2" t="n">
        <v>14</v>
      </c>
      <c r="C156" s="2" t="s">
        <v>488</v>
      </c>
      <c r="D156" s="2" t="s">
        <v>211</v>
      </c>
      <c r="E156" s="2" t="s">
        <v>34</v>
      </c>
      <c r="F156" s="2" t="s">
        <v>1108</v>
      </c>
      <c r="G156" s="2" t="s">
        <v>1109</v>
      </c>
      <c r="H156" s="2" t="s">
        <v>1110</v>
      </c>
      <c r="I156" s="2" t="s">
        <v>1111</v>
      </c>
      <c r="J156" s="2" t="s">
        <v>1112</v>
      </c>
      <c r="K156" s="2" t="s">
        <v>187</v>
      </c>
      <c r="L156" s="2" t="s">
        <v>121</v>
      </c>
      <c r="M156" s="2" t="s">
        <v>26</v>
      </c>
      <c r="N156" s="2" t="s">
        <v>1077</v>
      </c>
      <c r="O156" s="2" t="s">
        <v>40</v>
      </c>
      <c r="P156" s="2" t="s">
        <v>1113</v>
      </c>
      <c r="Q156" s="2" t="s">
        <v>493</v>
      </c>
    </row>
    <row r="157" customFormat="false" ht="46.25" hidden="false" customHeight="false" outlineLevel="0" collapsed="false">
      <c r="A157" s="2" t="s">
        <v>1114</v>
      </c>
      <c r="B157" s="2" t="n">
        <v>15</v>
      </c>
      <c r="C157" s="2" t="s">
        <v>503</v>
      </c>
      <c r="D157" s="2" t="s">
        <v>80</v>
      </c>
      <c r="E157" s="2" t="s">
        <v>89</v>
      </c>
      <c r="F157" s="2" t="s">
        <v>1115</v>
      </c>
      <c r="G157" s="2" t="s">
        <v>1116</v>
      </c>
      <c r="H157" s="2" t="s">
        <v>514</v>
      </c>
      <c r="I157" s="2" t="s">
        <v>1117</v>
      </c>
      <c r="J157" s="2" t="s">
        <v>1118</v>
      </c>
      <c r="K157" s="2" t="s">
        <v>187</v>
      </c>
      <c r="L157" s="2" t="s">
        <v>26</v>
      </c>
      <c r="M157" s="2" t="s">
        <v>26</v>
      </c>
      <c r="N157" s="2" t="s">
        <v>1077</v>
      </c>
      <c r="O157" s="2" t="s">
        <v>52</v>
      </c>
      <c r="P157" s="2" t="s">
        <v>1119</v>
      </c>
      <c r="Q157" s="2" t="s">
        <v>510</v>
      </c>
    </row>
    <row r="158" customFormat="false" ht="23.85" hidden="false" customHeight="false" outlineLevel="0" collapsed="false">
      <c r="A158" s="2" t="s">
        <v>1120</v>
      </c>
      <c r="B158" s="2" t="n">
        <v>16</v>
      </c>
      <c r="C158" s="2" t="s">
        <v>517</v>
      </c>
      <c r="D158" s="2" t="s">
        <v>409</v>
      </c>
      <c r="E158" s="2" t="s">
        <v>58</v>
      </c>
      <c r="F158" s="2" t="s">
        <v>127</v>
      </c>
      <c r="G158" s="2" t="s">
        <v>128</v>
      </c>
      <c r="H158" s="2" t="s">
        <v>61</v>
      </c>
      <c r="I158" s="2" t="s">
        <v>62</v>
      </c>
      <c r="J158" s="2" t="s">
        <v>1121</v>
      </c>
      <c r="K158" s="2" t="s">
        <v>111</v>
      </c>
      <c r="L158" s="2" t="s">
        <v>26</v>
      </c>
      <c r="M158" s="2" t="s">
        <v>26</v>
      </c>
      <c r="N158" s="2" t="s">
        <v>1077</v>
      </c>
      <c r="O158" s="2" t="s">
        <v>132</v>
      </c>
      <c r="P158" s="2" t="s">
        <v>1122</v>
      </c>
      <c r="Q158" s="2" t="s">
        <v>522</v>
      </c>
    </row>
    <row r="159" customFormat="false" ht="46.25" hidden="false" customHeight="false" outlineLevel="0" collapsed="false">
      <c r="A159" s="2" t="s">
        <v>1123</v>
      </c>
      <c r="B159" s="2" t="n">
        <v>18</v>
      </c>
      <c r="C159" s="2" t="s">
        <v>284</v>
      </c>
      <c r="D159" s="2" t="s">
        <v>285</v>
      </c>
      <c r="E159" s="2" t="s">
        <v>46</v>
      </c>
      <c r="F159" s="2" t="s">
        <v>1124</v>
      </c>
      <c r="G159" s="2" t="s">
        <v>1125</v>
      </c>
      <c r="H159" s="2" t="s">
        <v>1126</v>
      </c>
      <c r="I159" s="2" t="s">
        <v>1127</v>
      </c>
      <c r="J159" s="2" t="s">
        <v>1128</v>
      </c>
      <c r="K159" s="2" t="s">
        <v>187</v>
      </c>
      <c r="L159" s="2" t="s">
        <v>26</v>
      </c>
      <c r="M159" s="2" t="s">
        <v>26</v>
      </c>
      <c r="N159" s="2" t="s">
        <v>1077</v>
      </c>
      <c r="O159" s="2" t="s">
        <v>52</v>
      </c>
      <c r="P159" s="2" t="s">
        <v>1129</v>
      </c>
      <c r="Q159" s="2" t="s">
        <v>292</v>
      </c>
    </row>
    <row r="160" customFormat="false" ht="23.85" hidden="false" customHeight="false" outlineLevel="0" collapsed="false">
      <c r="A160" s="2" t="s">
        <v>1130</v>
      </c>
      <c r="B160" s="2" t="n">
        <v>20</v>
      </c>
      <c r="C160" s="2" t="s">
        <v>32</v>
      </c>
      <c r="D160" s="2" t="s">
        <v>33</v>
      </c>
      <c r="E160" s="2" t="s">
        <v>58</v>
      </c>
      <c r="F160" s="2" t="s">
        <v>1097</v>
      </c>
      <c r="G160" s="2" t="s">
        <v>1098</v>
      </c>
      <c r="H160" s="2" t="s">
        <v>1099</v>
      </c>
      <c r="I160" s="2" t="s">
        <v>1100</v>
      </c>
      <c r="J160" s="2" t="s">
        <v>1131</v>
      </c>
      <c r="K160" s="2" t="s">
        <v>187</v>
      </c>
      <c r="L160" s="2" t="s">
        <v>121</v>
      </c>
      <c r="M160" s="2" t="s">
        <v>26</v>
      </c>
      <c r="N160" s="2" t="s">
        <v>1077</v>
      </c>
      <c r="O160" s="2" t="s">
        <v>63</v>
      </c>
      <c r="P160" s="2" t="s">
        <v>1132</v>
      </c>
      <c r="Q160" s="2" t="s">
        <v>42</v>
      </c>
    </row>
    <row r="161" customFormat="false" ht="23.85" hidden="false" customHeight="false" outlineLevel="0" collapsed="false">
      <c r="A161" s="2" t="s">
        <v>1133</v>
      </c>
      <c r="B161" s="2" t="n">
        <v>22</v>
      </c>
      <c r="C161" s="2" t="s">
        <v>1134</v>
      </c>
      <c r="D161" s="2" t="s">
        <v>1135</v>
      </c>
      <c r="E161" s="2" t="s">
        <v>34</v>
      </c>
      <c r="F161" s="2" t="s">
        <v>39</v>
      </c>
      <c r="G161" s="2" t="s">
        <v>772</v>
      </c>
      <c r="H161" s="2" t="s">
        <v>37</v>
      </c>
      <c r="I161" s="2" t="s">
        <v>38</v>
      </c>
      <c r="J161" s="2" t="s">
        <v>1136</v>
      </c>
      <c r="K161" s="2" t="s">
        <v>25</v>
      </c>
      <c r="L161" s="2" t="s">
        <v>121</v>
      </c>
      <c r="M161" s="2" t="s">
        <v>26</v>
      </c>
      <c r="N161" s="2" t="s">
        <v>1077</v>
      </c>
      <c r="O161" s="2" t="s">
        <v>40</v>
      </c>
      <c r="P161" s="2" t="s">
        <v>1137</v>
      </c>
      <c r="Q161" s="2" t="s">
        <v>1138</v>
      </c>
    </row>
    <row r="162" customFormat="false" ht="23.85" hidden="false" customHeight="false" outlineLevel="0" collapsed="false">
      <c r="A162" s="2" t="s">
        <v>1139</v>
      </c>
      <c r="B162" s="2" t="n">
        <v>24</v>
      </c>
      <c r="C162" s="2" t="s">
        <v>1140</v>
      </c>
      <c r="D162" s="2" t="s">
        <v>1141</v>
      </c>
      <c r="E162" s="2" t="s">
        <v>58</v>
      </c>
      <c r="F162" s="2" t="s">
        <v>1142</v>
      </c>
      <c r="G162" s="2" t="s">
        <v>1143</v>
      </c>
      <c r="H162" s="2" t="s">
        <v>232</v>
      </c>
      <c r="I162" s="2" t="s">
        <v>233</v>
      </c>
      <c r="J162" s="2" t="s">
        <v>1144</v>
      </c>
      <c r="K162" s="2" t="s">
        <v>187</v>
      </c>
      <c r="L162" s="2" t="s">
        <v>121</v>
      </c>
      <c r="M162" s="2" t="s">
        <v>26</v>
      </c>
      <c r="N162" s="2" t="s">
        <v>1077</v>
      </c>
      <c r="O162" s="2" t="s">
        <v>63</v>
      </c>
      <c r="P162" s="2" t="s">
        <v>1145</v>
      </c>
      <c r="Q162" s="2" t="s">
        <v>1146</v>
      </c>
    </row>
    <row r="163" customFormat="false" ht="35.05" hidden="false" customHeight="false" outlineLevel="0" collapsed="false">
      <c r="A163" s="2" t="s">
        <v>1147</v>
      </c>
      <c r="B163" s="2" t="n">
        <v>35</v>
      </c>
      <c r="C163" s="2" t="s">
        <v>1148</v>
      </c>
      <c r="D163" s="2" t="s">
        <v>1149</v>
      </c>
      <c r="E163" s="2" t="s">
        <v>20</v>
      </c>
      <c r="F163" s="2" t="s">
        <v>1150</v>
      </c>
      <c r="G163" s="2" t="s">
        <v>1151</v>
      </c>
      <c r="H163" s="2" t="s">
        <v>172</v>
      </c>
      <c r="I163" s="2" t="s">
        <v>1152</v>
      </c>
      <c r="J163" s="2" t="s">
        <v>1153</v>
      </c>
      <c r="K163" s="2" t="s">
        <v>25</v>
      </c>
      <c r="L163" s="2" t="s">
        <v>121</v>
      </c>
      <c r="M163" s="2" t="s">
        <v>26</v>
      </c>
      <c r="N163" s="2" t="s">
        <v>1077</v>
      </c>
      <c r="O163" s="2" t="s">
        <v>197</v>
      </c>
      <c r="P163" s="2" t="s">
        <v>1154</v>
      </c>
      <c r="Q163" s="2" t="s">
        <v>1155</v>
      </c>
    </row>
    <row r="164" customFormat="false" ht="35.05" hidden="false" customHeight="false" outlineLevel="0" collapsed="false">
      <c r="A164" s="2" t="s">
        <v>1156</v>
      </c>
      <c r="B164" s="2" t="n">
        <v>35</v>
      </c>
      <c r="C164" s="2" t="s">
        <v>1148</v>
      </c>
      <c r="D164" s="2" t="s">
        <v>1149</v>
      </c>
      <c r="E164" s="2" t="s">
        <v>46</v>
      </c>
      <c r="F164" s="2" t="s">
        <v>1157</v>
      </c>
      <c r="G164" s="2" t="s">
        <v>1158</v>
      </c>
      <c r="H164" s="2" t="s">
        <v>69</v>
      </c>
      <c r="I164" s="2" t="s">
        <v>255</v>
      </c>
      <c r="J164" s="2" t="s">
        <v>1159</v>
      </c>
      <c r="K164" s="2" t="s">
        <v>51</v>
      </c>
      <c r="L164" s="2" t="s">
        <v>26</v>
      </c>
      <c r="M164" s="2" t="s">
        <v>26</v>
      </c>
      <c r="N164" s="2" t="s">
        <v>1077</v>
      </c>
      <c r="O164" s="2" t="s">
        <v>52</v>
      </c>
      <c r="P164" s="2" t="s">
        <v>1160</v>
      </c>
      <c r="Q164" s="2" t="s">
        <v>1155</v>
      </c>
    </row>
    <row r="165" customFormat="false" ht="35.05" hidden="false" customHeight="false" outlineLevel="0" collapsed="false">
      <c r="A165" s="2" t="s">
        <v>1161</v>
      </c>
      <c r="B165" s="2" t="n">
        <v>39</v>
      </c>
      <c r="C165" s="2" t="s">
        <v>1162</v>
      </c>
      <c r="D165" s="2" t="s">
        <v>1163</v>
      </c>
      <c r="E165" s="2" t="s">
        <v>58</v>
      </c>
      <c r="F165" s="2" t="s">
        <v>380</v>
      </c>
      <c r="G165" s="2" t="s">
        <v>381</v>
      </c>
      <c r="H165" s="2" t="s">
        <v>265</v>
      </c>
      <c r="I165" s="2" t="s">
        <v>266</v>
      </c>
      <c r="J165" s="2" t="s">
        <v>1164</v>
      </c>
      <c r="K165" s="2" t="s">
        <v>111</v>
      </c>
      <c r="L165" s="2" t="s">
        <v>121</v>
      </c>
      <c r="M165" s="2" t="s">
        <v>26</v>
      </c>
      <c r="N165" s="2" t="s">
        <v>1077</v>
      </c>
      <c r="O165" s="2" t="s">
        <v>63</v>
      </c>
      <c r="P165" s="2" t="s">
        <v>1165</v>
      </c>
      <c r="Q165" s="2" t="s">
        <v>1166</v>
      </c>
    </row>
    <row r="166" customFormat="false" ht="35.05" hidden="false" customHeight="false" outlineLevel="0" collapsed="false">
      <c r="A166" s="2" t="s">
        <v>1167</v>
      </c>
      <c r="B166" s="2" t="n">
        <v>39</v>
      </c>
      <c r="C166" s="2" t="s">
        <v>1162</v>
      </c>
      <c r="D166" s="2" t="s">
        <v>1163</v>
      </c>
      <c r="E166" s="2" t="s">
        <v>20</v>
      </c>
      <c r="F166" s="2" t="s">
        <v>271</v>
      </c>
      <c r="G166" s="2" t="s">
        <v>272</v>
      </c>
      <c r="H166" s="2" t="s">
        <v>1168</v>
      </c>
      <c r="I166" s="2" t="s">
        <v>1169</v>
      </c>
      <c r="J166" s="2" t="s">
        <v>1170</v>
      </c>
      <c r="K166" s="2" t="s">
        <v>51</v>
      </c>
      <c r="L166" s="2" t="s">
        <v>26</v>
      </c>
      <c r="M166" s="2" t="s">
        <v>26</v>
      </c>
      <c r="N166" s="2" t="s">
        <v>1077</v>
      </c>
      <c r="O166" s="2" t="s">
        <v>28</v>
      </c>
      <c r="P166" s="2" t="s">
        <v>1171</v>
      </c>
      <c r="Q166" s="2" t="s">
        <v>1166</v>
      </c>
    </row>
    <row r="167" customFormat="false" ht="35.05" hidden="false" customHeight="false" outlineLevel="0" collapsed="false">
      <c r="A167" s="2" t="s">
        <v>1172</v>
      </c>
      <c r="B167" s="2" t="n">
        <v>39</v>
      </c>
      <c r="C167" s="2" t="s">
        <v>1162</v>
      </c>
      <c r="D167" s="2" t="s">
        <v>1163</v>
      </c>
      <c r="E167" s="2" t="s">
        <v>34</v>
      </c>
      <c r="F167" s="2" t="s">
        <v>1108</v>
      </c>
      <c r="G167" s="2" t="s">
        <v>1109</v>
      </c>
      <c r="H167" s="2" t="s">
        <v>1110</v>
      </c>
      <c r="I167" s="2" t="s">
        <v>1111</v>
      </c>
      <c r="J167" s="2" t="s">
        <v>1173</v>
      </c>
      <c r="K167" s="2" t="s">
        <v>187</v>
      </c>
      <c r="L167" s="2" t="s">
        <v>121</v>
      </c>
      <c r="M167" s="2" t="s">
        <v>26</v>
      </c>
      <c r="N167" s="2" t="s">
        <v>1077</v>
      </c>
      <c r="O167" s="2" t="s">
        <v>40</v>
      </c>
      <c r="P167" s="2" t="s">
        <v>1174</v>
      </c>
      <c r="Q167" s="2" t="s">
        <v>1166</v>
      </c>
    </row>
    <row r="168" customFormat="false" ht="23.85" hidden="false" customHeight="false" outlineLevel="0" collapsed="false">
      <c r="A168" s="2" t="s">
        <v>1175</v>
      </c>
      <c r="B168" s="2" t="n">
        <v>48</v>
      </c>
      <c r="C168" s="2" t="s">
        <v>709</v>
      </c>
      <c r="D168" s="2" t="s">
        <v>370</v>
      </c>
      <c r="E168" s="2" t="s">
        <v>89</v>
      </c>
      <c r="F168" s="2" t="s">
        <v>1176</v>
      </c>
      <c r="G168" s="2" t="s">
        <v>1177</v>
      </c>
      <c r="H168" s="2" t="s">
        <v>847</v>
      </c>
      <c r="I168" s="2" t="s">
        <v>848</v>
      </c>
      <c r="J168" s="2" t="s">
        <v>1178</v>
      </c>
      <c r="K168" s="2" t="s">
        <v>187</v>
      </c>
      <c r="L168" s="2" t="s">
        <v>26</v>
      </c>
      <c r="M168" s="2" t="s">
        <v>26</v>
      </c>
      <c r="N168" s="2" t="s">
        <v>1077</v>
      </c>
      <c r="O168" s="2" t="s">
        <v>52</v>
      </c>
      <c r="P168" s="2" t="s">
        <v>1179</v>
      </c>
      <c r="Q168" s="2" t="s">
        <v>715</v>
      </c>
    </row>
    <row r="169" customFormat="false" ht="23.85" hidden="false" customHeight="false" outlineLevel="0" collapsed="false">
      <c r="A169" s="2" t="s">
        <v>1180</v>
      </c>
      <c r="B169" s="2" t="n">
        <v>54</v>
      </c>
      <c r="C169" s="2" t="s">
        <v>352</v>
      </c>
      <c r="D169" s="2" t="s">
        <v>353</v>
      </c>
      <c r="E169" s="2" t="s">
        <v>58</v>
      </c>
      <c r="F169" s="2" t="s">
        <v>1142</v>
      </c>
      <c r="G169" s="2" t="s">
        <v>1143</v>
      </c>
      <c r="H169" s="2" t="s">
        <v>232</v>
      </c>
      <c r="I169" s="2" t="s">
        <v>233</v>
      </c>
      <c r="J169" s="2" t="s">
        <v>1144</v>
      </c>
      <c r="K169" s="2" t="s">
        <v>187</v>
      </c>
      <c r="L169" s="2" t="s">
        <v>121</v>
      </c>
      <c r="M169" s="2" t="s">
        <v>26</v>
      </c>
      <c r="N169" s="2" t="s">
        <v>1077</v>
      </c>
      <c r="O169" s="2" t="s">
        <v>63</v>
      </c>
      <c r="P169" s="2" t="s">
        <v>1181</v>
      </c>
      <c r="Q169" s="2" t="s">
        <v>357</v>
      </c>
    </row>
    <row r="170" customFormat="false" ht="23.85" hidden="false" customHeight="false" outlineLevel="0" collapsed="false">
      <c r="A170" s="2" t="s">
        <v>1182</v>
      </c>
      <c r="B170" s="2" t="n">
        <v>57</v>
      </c>
      <c r="C170" s="2" t="s">
        <v>1183</v>
      </c>
      <c r="D170" s="2" t="s">
        <v>1184</v>
      </c>
      <c r="E170" s="2" t="s">
        <v>20</v>
      </c>
      <c r="F170" s="2" t="s">
        <v>192</v>
      </c>
      <c r="G170" s="2" t="s">
        <v>193</v>
      </c>
      <c r="H170" s="2" t="s">
        <v>106</v>
      </c>
      <c r="I170" s="2" t="s">
        <v>1185</v>
      </c>
      <c r="J170" s="2" t="s">
        <v>1186</v>
      </c>
      <c r="K170" s="2" t="s">
        <v>111</v>
      </c>
      <c r="L170" s="2" t="s">
        <v>121</v>
      </c>
      <c r="M170" s="2" t="s">
        <v>26</v>
      </c>
      <c r="N170" s="2" t="s">
        <v>1077</v>
      </c>
      <c r="O170" s="2" t="s">
        <v>197</v>
      </c>
      <c r="P170" s="2" t="s">
        <v>1187</v>
      </c>
      <c r="Q170" s="2" t="s">
        <v>1188</v>
      </c>
    </row>
    <row r="171" customFormat="false" ht="46.25" hidden="false" customHeight="false" outlineLevel="0" collapsed="false">
      <c r="A171" s="2" t="s">
        <v>1189</v>
      </c>
      <c r="B171" s="2" t="n">
        <v>59</v>
      </c>
      <c r="C171" s="2" t="s">
        <v>798</v>
      </c>
      <c r="D171" s="2" t="s">
        <v>799</v>
      </c>
      <c r="E171" s="2" t="s">
        <v>89</v>
      </c>
      <c r="F171" s="2" t="s">
        <v>1190</v>
      </c>
      <c r="G171" s="2" t="s">
        <v>1191</v>
      </c>
      <c r="H171" s="2" t="s">
        <v>588</v>
      </c>
      <c r="I171" s="2" t="s">
        <v>869</v>
      </c>
      <c r="J171" s="2" t="s">
        <v>1192</v>
      </c>
      <c r="K171" s="2" t="s">
        <v>187</v>
      </c>
      <c r="L171" s="2" t="s">
        <v>26</v>
      </c>
      <c r="M171" s="2" t="s">
        <v>26</v>
      </c>
      <c r="N171" s="2" t="s">
        <v>1077</v>
      </c>
      <c r="O171" s="2" t="s">
        <v>52</v>
      </c>
      <c r="P171" s="2" t="s">
        <v>1193</v>
      </c>
      <c r="Q171" s="2" t="s">
        <v>806</v>
      </c>
    </row>
    <row r="172" customFormat="false" ht="35.05" hidden="false" customHeight="false" outlineLevel="0" collapsed="false">
      <c r="A172" s="2" t="s">
        <v>1194</v>
      </c>
      <c r="B172" s="2" t="n">
        <v>66</v>
      </c>
      <c r="C172" s="2" t="s">
        <v>857</v>
      </c>
      <c r="D172" s="2" t="s">
        <v>858</v>
      </c>
      <c r="E172" s="2" t="s">
        <v>20</v>
      </c>
      <c r="F172" s="2" t="s">
        <v>239</v>
      </c>
      <c r="G172" s="2" t="s">
        <v>240</v>
      </c>
      <c r="H172" s="2" t="s">
        <v>1195</v>
      </c>
      <c r="I172" s="2" t="s">
        <v>1196</v>
      </c>
      <c r="J172" s="2" t="s">
        <v>1197</v>
      </c>
      <c r="K172" s="2" t="s">
        <v>51</v>
      </c>
      <c r="L172" s="2" t="s">
        <v>121</v>
      </c>
      <c r="M172" s="2" t="s">
        <v>26</v>
      </c>
      <c r="N172" s="2" t="s">
        <v>1077</v>
      </c>
      <c r="O172" s="2" t="s">
        <v>1198</v>
      </c>
      <c r="P172" s="2" t="s">
        <v>1199</v>
      </c>
      <c r="Q172" s="2" t="s">
        <v>865</v>
      </c>
    </row>
    <row r="173" customFormat="false" ht="35.05" hidden="false" customHeight="false" outlineLevel="0" collapsed="false">
      <c r="A173" s="2" t="s">
        <v>1200</v>
      </c>
      <c r="B173" s="2" t="n">
        <v>67</v>
      </c>
      <c r="C173" s="2" t="s">
        <v>867</v>
      </c>
      <c r="D173" s="2" t="s">
        <v>868</v>
      </c>
      <c r="E173" s="2" t="s">
        <v>34</v>
      </c>
      <c r="F173" s="2" t="s">
        <v>573</v>
      </c>
      <c r="G173" s="2" t="s">
        <v>574</v>
      </c>
      <c r="H173" s="2" t="s">
        <v>296</v>
      </c>
      <c r="I173" s="2" t="s">
        <v>1201</v>
      </c>
      <c r="J173" s="2" t="s">
        <v>1202</v>
      </c>
      <c r="K173" s="2" t="s">
        <v>25</v>
      </c>
      <c r="L173" s="2" t="s">
        <v>121</v>
      </c>
      <c r="M173" s="2" t="s">
        <v>26</v>
      </c>
      <c r="N173" s="2" t="s">
        <v>1077</v>
      </c>
      <c r="O173" s="2" t="s">
        <v>40</v>
      </c>
      <c r="P173" s="2" t="s">
        <v>1203</v>
      </c>
      <c r="Q173" s="2" t="s">
        <v>872</v>
      </c>
    </row>
    <row r="174" customFormat="false" ht="35.05" hidden="false" customHeight="false" outlineLevel="0" collapsed="false">
      <c r="A174" s="2" t="s">
        <v>1204</v>
      </c>
      <c r="B174" s="2" t="n">
        <v>68</v>
      </c>
      <c r="C174" s="2" t="s">
        <v>1205</v>
      </c>
      <c r="D174" s="2" t="s">
        <v>1206</v>
      </c>
      <c r="E174" s="2" t="s">
        <v>58</v>
      </c>
      <c r="F174" s="2" t="s">
        <v>1207</v>
      </c>
      <c r="G174" s="2" t="s">
        <v>1208</v>
      </c>
      <c r="H174" s="2" t="s">
        <v>1036</v>
      </c>
      <c r="I174" s="2" t="s">
        <v>1037</v>
      </c>
      <c r="J174" s="2" t="s">
        <v>1209</v>
      </c>
      <c r="K174" s="2" t="s">
        <v>25</v>
      </c>
      <c r="L174" s="2" t="s">
        <v>26</v>
      </c>
      <c r="M174" s="2" t="s">
        <v>26</v>
      </c>
      <c r="N174" s="2" t="s">
        <v>1077</v>
      </c>
      <c r="O174" s="2" t="s">
        <v>63</v>
      </c>
      <c r="P174" s="2" t="s">
        <v>1210</v>
      </c>
      <c r="Q174" s="2" t="s">
        <v>1211</v>
      </c>
    </row>
    <row r="175" customFormat="false" ht="35.05" hidden="false" customHeight="false" outlineLevel="0" collapsed="false">
      <c r="A175" s="2" t="s">
        <v>1212</v>
      </c>
      <c r="B175" s="2" t="n">
        <v>68</v>
      </c>
      <c r="C175" s="2" t="s">
        <v>1205</v>
      </c>
      <c r="D175" s="2" t="s">
        <v>1206</v>
      </c>
      <c r="E175" s="2" t="s">
        <v>20</v>
      </c>
      <c r="F175" s="2" t="s">
        <v>239</v>
      </c>
      <c r="G175" s="2" t="s">
        <v>240</v>
      </c>
      <c r="H175" s="2" t="s">
        <v>338</v>
      </c>
      <c r="I175" s="2" t="s">
        <v>339</v>
      </c>
      <c r="J175" s="2"/>
      <c r="K175" s="2" t="s">
        <v>51</v>
      </c>
      <c r="L175" s="2" t="s">
        <v>26</v>
      </c>
      <c r="M175" s="2" t="s">
        <v>26</v>
      </c>
      <c r="N175" s="2" t="s">
        <v>1077</v>
      </c>
      <c r="O175" s="2" t="s">
        <v>1198</v>
      </c>
      <c r="P175" s="2" t="s">
        <v>1213</v>
      </c>
      <c r="Q175" s="2" t="s">
        <v>1211</v>
      </c>
    </row>
    <row r="176" customFormat="false" ht="35.05" hidden="false" customHeight="false" outlineLevel="0" collapsed="false">
      <c r="A176" s="2" t="s">
        <v>1214</v>
      </c>
      <c r="B176" s="2" t="n">
        <v>71</v>
      </c>
      <c r="C176" s="2" t="s">
        <v>891</v>
      </c>
      <c r="D176" s="2" t="s">
        <v>892</v>
      </c>
      <c r="E176" s="2" t="s">
        <v>89</v>
      </c>
      <c r="F176" s="2" t="s">
        <v>1215</v>
      </c>
      <c r="G176" s="2" t="s">
        <v>1216</v>
      </c>
      <c r="H176" s="2" t="s">
        <v>346</v>
      </c>
      <c r="I176" s="2" t="s">
        <v>1217</v>
      </c>
      <c r="J176" s="2" t="s">
        <v>1218</v>
      </c>
      <c r="K176" s="2" t="s">
        <v>187</v>
      </c>
      <c r="L176" s="2" t="s">
        <v>26</v>
      </c>
      <c r="M176" s="2" t="s">
        <v>26</v>
      </c>
      <c r="N176" s="2" t="s">
        <v>1077</v>
      </c>
      <c r="O176" s="2" t="s">
        <v>52</v>
      </c>
      <c r="P176" s="2" t="s">
        <v>1219</v>
      </c>
      <c r="Q176" s="2" t="s">
        <v>899</v>
      </c>
    </row>
    <row r="177" customFormat="false" ht="23.85" hidden="false" customHeight="false" outlineLevel="0" collapsed="false">
      <c r="A177" s="2" t="s">
        <v>1220</v>
      </c>
      <c r="B177" s="2" t="n">
        <v>72</v>
      </c>
      <c r="C177" s="2" t="s">
        <v>908</v>
      </c>
      <c r="D177" s="2" t="s">
        <v>909</v>
      </c>
      <c r="E177" s="2" t="s">
        <v>20</v>
      </c>
      <c r="F177" s="2" t="s">
        <v>1221</v>
      </c>
      <c r="G177" s="2" t="s">
        <v>1222</v>
      </c>
      <c r="H177" s="2" t="s">
        <v>802</v>
      </c>
      <c r="I177" s="2" t="s">
        <v>803</v>
      </c>
      <c r="J177" s="2" t="s">
        <v>1223</v>
      </c>
      <c r="K177" s="2" t="s">
        <v>111</v>
      </c>
      <c r="L177" s="2" t="s">
        <v>121</v>
      </c>
      <c r="M177" s="2" t="s">
        <v>26</v>
      </c>
      <c r="N177" s="2" t="s">
        <v>1077</v>
      </c>
      <c r="O177" s="2" t="s">
        <v>500</v>
      </c>
      <c r="P177" s="2" t="s">
        <v>1224</v>
      </c>
      <c r="Q177" s="2" t="s">
        <v>912</v>
      </c>
    </row>
    <row r="178" customFormat="false" ht="23.85" hidden="false" customHeight="false" outlineLevel="0" collapsed="false">
      <c r="A178" s="2" t="s">
        <v>1225</v>
      </c>
      <c r="B178" s="2" t="n">
        <v>72</v>
      </c>
      <c r="C178" s="2" t="s">
        <v>908</v>
      </c>
      <c r="D178" s="2" t="s">
        <v>909</v>
      </c>
      <c r="E178" s="2" t="s">
        <v>46</v>
      </c>
      <c r="F178" s="2" t="s">
        <v>1226</v>
      </c>
      <c r="G178" s="2" t="s">
        <v>1227</v>
      </c>
      <c r="H178" s="2" t="s">
        <v>69</v>
      </c>
      <c r="I178" s="2" t="s">
        <v>255</v>
      </c>
      <c r="J178" s="2" t="s">
        <v>258</v>
      </c>
      <c r="K178" s="2" t="s">
        <v>51</v>
      </c>
      <c r="L178" s="2" t="s">
        <v>26</v>
      </c>
      <c r="M178" s="2" t="s">
        <v>26</v>
      </c>
      <c r="N178" s="2" t="s">
        <v>1077</v>
      </c>
      <c r="O178" s="2" t="s">
        <v>52</v>
      </c>
      <c r="P178" s="2" t="s">
        <v>1228</v>
      </c>
      <c r="Q178" s="2" t="s">
        <v>912</v>
      </c>
    </row>
    <row r="179" customFormat="false" ht="46.25" hidden="false" customHeight="false" outlineLevel="0" collapsed="false">
      <c r="A179" s="2" t="s">
        <v>1229</v>
      </c>
      <c r="B179" s="2" t="n">
        <v>73</v>
      </c>
      <c r="C179" s="2" t="s">
        <v>914</v>
      </c>
      <c r="D179" s="2" t="s">
        <v>915</v>
      </c>
      <c r="E179" s="2" t="s">
        <v>58</v>
      </c>
      <c r="F179" s="2" t="s">
        <v>1230</v>
      </c>
      <c r="G179" s="2" t="s">
        <v>1231</v>
      </c>
      <c r="H179" s="2" t="s">
        <v>1232</v>
      </c>
      <c r="I179" s="2" t="s">
        <v>1233</v>
      </c>
      <c r="J179" s="2" t="s">
        <v>1234</v>
      </c>
      <c r="K179" s="2" t="s">
        <v>25</v>
      </c>
      <c r="L179" s="2" t="s">
        <v>121</v>
      </c>
      <c r="M179" s="2" t="s">
        <v>26</v>
      </c>
      <c r="N179" s="2" t="s">
        <v>1077</v>
      </c>
      <c r="O179" s="2" t="s">
        <v>63</v>
      </c>
      <c r="P179" s="2" t="s">
        <v>1235</v>
      </c>
      <c r="Q179" s="2" t="s">
        <v>920</v>
      </c>
    </row>
    <row r="180" customFormat="false" ht="35.05" hidden="false" customHeight="false" outlineLevel="0" collapsed="false">
      <c r="A180" s="2" t="s">
        <v>1236</v>
      </c>
      <c r="B180" s="2" t="n">
        <v>74</v>
      </c>
      <c r="C180" s="2" t="s">
        <v>156</v>
      </c>
      <c r="D180" s="2" t="s">
        <v>157</v>
      </c>
      <c r="E180" s="2" t="s">
        <v>20</v>
      </c>
      <c r="F180" s="2" t="s">
        <v>1221</v>
      </c>
      <c r="G180" s="2" t="s">
        <v>1222</v>
      </c>
      <c r="H180" s="2" t="s">
        <v>802</v>
      </c>
      <c r="I180" s="2" t="s">
        <v>803</v>
      </c>
      <c r="J180" s="2" t="s">
        <v>1237</v>
      </c>
      <c r="K180" s="2" t="s">
        <v>111</v>
      </c>
      <c r="L180" s="2" t="s">
        <v>26</v>
      </c>
      <c r="M180" s="2" t="s">
        <v>26</v>
      </c>
      <c r="N180" s="2" t="s">
        <v>1077</v>
      </c>
      <c r="O180" s="2" t="s">
        <v>500</v>
      </c>
      <c r="P180" s="2" t="s">
        <v>1238</v>
      </c>
      <c r="Q180" s="2" t="s">
        <v>162</v>
      </c>
    </row>
    <row r="181" customFormat="false" ht="35.05" hidden="false" customHeight="false" outlineLevel="0" collapsed="false">
      <c r="A181" s="2" t="s">
        <v>1239</v>
      </c>
      <c r="B181" s="2" t="n">
        <v>75</v>
      </c>
      <c r="C181" s="2" t="s">
        <v>170</v>
      </c>
      <c r="D181" s="2" t="s">
        <v>171</v>
      </c>
      <c r="E181" s="2" t="s">
        <v>89</v>
      </c>
      <c r="F181" s="2" t="s">
        <v>1240</v>
      </c>
      <c r="G181" s="2" t="s">
        <v>1241</v>
      </c>
      <c r="H181" s="2" t="s">
        <v>1242</v>
      </c>
      <c r="I181" s="2" t="s">
        <v>1243</v>
      </c>
      <c r="J181" s="2" t="s">
        <v>1244</v>
      </c>
      <c r="K181" s="2" t="s">
        <v>111</v>
      </c>
      <c r="L181" s="2" t="s">
        <v>26</v>
      </c>
      <c r="M181" s="2" t="s">
        <v>26</v>
      </c>
      <c r="N181" s="2" t="s">
        <v>1077</v>
      </c>
      <c r="O181" s="2" t="s">
        <v>52</v>
      </c>
      <c r="P181" s="2" t="s">
        <v>1245</v>
      </c>
      <c r="Q181" s="2" t="s">
        <v>178</v>
      </c>
    </row>
    <row r="182" customFormat="false" ht="35.05" hidden="false" customHeight="false" outlineLevel="0" collapsed="false">
      <c r="A182" s="2" t="s">
        <v>1246</v>
      </c>
      <c r="B182" s="2" t="n">
        <v>77</v>
      </c>
      <c r="C182" s="2" t="s">
        <v>180</v>
      </c>
      <c r="D182" s="2" t="s">
        <v>181</v>
      </c>
      <c r="E182" s="2" t="s">
        <v>34</v>
      </c>
      <c r="F182" s="2" t="s">
        <v>1017</v>
      </c>
      <c r="G182" s="2" t="s">
        <v>1018</v>
      </c>
      <c r="H182" s="2" t="s">
        <v>1247</v>
      </c>
      <c r="I182" s="2" t="s">
        <v>1248</v>
      </c>
      <c r="J182" s="2" t="s">
        <v>1249</v>
      </c>
      <c r="K182" s="2" t="s">
        <v>51</v>
      </c>
      <c r="L182" s="2" t="s">
        <v>26</v>
      </c>
      <c r="M182" s="2" t="s">
        <v>26</v>
      </c>
      <c r="N182" s="2" t="s">
        <v>1077</v>
      </c>
      <c r="O182" s="2" t="s">
        <v>40</v>
      </c>
      <c r="P182" s="2" t="s">
        <v>1250</v>
      </c>
      <c r="Q182" s="2" t="s">
        <v>190</v>
      </c>
    </row>
    <row r="183" customFormat="false" ht="35.05" hidden="false" customHeight="false" outlineLevel="0" collapsed="false">
      <c r="A183" s="2" t="s">
        <v>1251</v>
      </c>
      <c r="B183" s="2" t="n">
        <v>80</v>
      </c>
      <c r="C183" s="2" t="s">
        <v>1252</v>
      </c>
      <c r="D183" s="2" t="s">
        <v>1253</v>
      </c>
      <c r="E183" s="2" t="s">
        <v>20</v>
      </c>
      <c r="F183" s="2" t="s">
        <v>1254</v>
      </c>
      <c r="G183" s="2" t="s">
        <v>1255</v>
      </c>
      <c r="H183" s="2" t="s">
        <v>1256</v>
      </c>
      <c r="I183" s="2" t="s">
        <v>1257</v>
      </c>
      <c r="J183" s="2" t="s">
        <v>1258</v>
      </c>
      <c r="K183" s="2" t="s">
        <v>187</v>
      </c>
      <c r="L183" s="2" t="s">
        <v>121</v>
      </c>
      <c r="M183" s="2" t="s">
        <v>26</v>
      </c>
      <c r="N183" s="2" t="s">
        <v>1077</v>
      </c>
      <c r="O183" s="2" t="s">
        <v>28</v>
      </c>
      <c r="P183" s="2" t="s">
        <v>1259</v>
      </c>
      <c r="Q183" s="2" t="s">
        <v>1260</v>
      </c>
    </row>
    <row r="184" customFormat="false" ht="35.05" hidden="false" customHeight="false" outlineLevel="0" collapsed="false">
      <c r="A184" s="2" t="s">
        <v>1261</v>
      </c>
      <c r="B184" s="2" t="n">
        <v>80</v>
      </c>
      <c r="C184" s="2" t="s">
        <v>1252</v>
      </c>
      <c r="D184" s="2" t="s">
        <v>1253</v>
      </c>
      <c r="E184" s="2" t="s">
        <v>46</v>
      </c>
      <c r="F184" s="2" t="s">
        <v>1262</v>
      </c>
      <c r="G184" s="2" t="s">
        <v>1263</v>
      </c>
      <c r="H184" s="2" t="s">
        <v>1264</v>
      </c>
      <c r="I184" s="2" t="s">
        <v>1265</v>
      </c>
      <c r="J184" s="2" t="s">
        <v>1266</v>
      </c>
      <c r="K184" s="2" t="s">
        <v>187</v>
      </c>
      <c r="L184" s="2" t="s">
        <v>26</v>
      </c>
      <c r="M184" s="2" t="s">
        <v>26</v>
      </c>
      <c r="N184" s="2" t="s">
        <v>1077</v>
      </c>
      <c r="O184" s="2" t="s">
        <v>52</v>
      </c>
      <c r="P184" s="2" t="s">
        <v>1267</v>
      </c>
      <c r="Q184" s="2" t="s">
        <v>1260</v>
      </c>
    </row>
    <row r="185" customFormat="false" ht="35.05" hidden="false" customHeight="false" outlineLevel="0" collapsed="false">
      <c r="A185" s="2" t="s">
        <v>1268</v>
      </c>
      <c r="B185" s="2" t="n">
        <v>82</v>
      </c>
      <c r="C185" s="2" t="s">
        <v>976</v>
      </c>
      <c r="D185" s="2" t="s">
        <v>977</v>
      </c>
      <c r="E185" s="2" t="s">
        <v>89</v>
      </c>
      <c r="F185" s="2" t="s">
        <v>1124</v>
      </c>
      <c r="G185" s="2" t="s">
        <v>1125</v>
      </c>
      <c r="H185" s="2" t="s">
        <v>1269</v>
      </c>
      <c r="I185" s="2" t="s">
        <v>1270</v>
      </c>
      <c r="J185" s="2" t="s">
        <v>1271</v>
      </c>
      <c r="K185" s="2" t="s">
        <v>187</v>
      </c>
      <c r="L185" s="2" t="s">
        <v>26</v>
      </c>
      <c r="M185" s="2" t="s">
        <v>26</v>
      </c>
      <c r="N185" s="2" t="s">
        <v>1077</v>
      </c>
      <c r="O185" s="2" t="s">
        <v>52</v>
      </c>
      <c r="P185" s="2" t="s">
        <v>1272</v>
      </c>
      <c r="Q185" s="2" t="s">
        <v>980</v>
      </c>
    </row>
    <row r="186" customFormat="false" ht="35.05" hidden="false" customHeight="false" outlineLevel="0" collapsed="false">
      <c r="A186" s="2" t="s">
        <v>1273</v>
      </c>
      <c r="B186" s="2" t="n">
        <v>82</v>
      </c>
      <c r="C186" s="2" t="s">
        <v>976</v>
      </c>
      <c r="D186" s="2" t="s">
        <v>977</v>
      </c>
      <c r="E186" s="2" t="s">
        <v>46</v>
      </c>
      <c r="F186" s="2" t="s">
        <v>1274</v>
      </c>
      <c r="G186" s="2" t="s">
        <v>1275</v>
      </c>
      <c r="H186" s="2" t="s">
        <v>1276</v>
      </c>
      <c r="I186" s="2" t="s">
        <v>1277</v>
      </c>
      <c r="J186" s="2" t="s">
        <v>1278</v>
      </c>
      <c r="K186" s="2" t="s">
        <v>51</v>
      </c>
      <c r="L186" s="2" t="s">
        <v>26</v>
      </c>
      <c r="M186" s="2" t="s">
        <v>26</v>
      </c>
      <c r="N186" s="2" t="s">
        <v>1077</v>
      </c>
      <c r="O186" s="2" t="s">
        <v>52</v>
      </c>
      <c r="P186" s="2" t="s">
        <v>1279</v>
      </c>
      <c r="Q186" s="2" t="s">
        <v>980</v>
      </c>
    </row>
    <row r="187" customFormat="false" ht="46.25" hidden="false" customHeight="false" outlineLevel="0" collapsed="false">
      <c r="A187" s="2" t="s">
        <v>1280</v>
      </c>
      <c r="B187" s="2" t="n">
        <v>84</v>
      </c>
      <c r="C187" s="2" t="s">
        <v>999</v>
      </c>
      <c r="D187" s="2" t="s">
        <v>1000</v>
      </c>
      <c r="E187" s="2" t="s">
        <v>20</v>
      </c>
      <c r="F187" s="2" t="s">
        <v>1221</v>
      </c>
      <c r="G187" s="2" t="s">
        <v>1222</v>
      </c>
      <c r="H187" s="2" t="s">
        <v>802</v>
      </c>
      <c r="I187" s="2" t="s">
        <v>803</v>
      </c>
      <c r="J187" s="2" t="s">
        <v>1281</v>
      </c>
      <c r="K187" s="2" t="s">
        <v>111</v>
      </c>
      <c r="L187" s="2" t="s">
        <v>26</v>
      </c>
      <c r="M187" s="2" t="s">
        <v>26</v>
      </c>
      <c r="N187" s="2" t="s">
        <v>1077</v>
      </c>
      <c r="O187" s="2" t="s">
        <v>500</v>
      </c>
      <c r="P187" s="2" t="s">
        <v>1282</v>
      </c>
      <c r="Q187" s="2" t="s">
        <v>1003</v>
      </c>
    </row>
    <row r="188" customFormat="false" ht="23.85" hidden="false" customHeight="false" outlineLevel="0" collapsed="false">
      <c r="A188" s="2" t="s">
        <v>1283</v>
      </c>
      <c r="B188" s="2" t="n">
        <v>86</v>
      </c>
      <c r="C188" s="2" t="s">
        <v>1015</v>
      </c>
      <c r="D188" s="2" t="s">
        <v>1016</v>
      </c>
      <c r="E188" s="2" t="s">
        <v>58</v>
      </c>
      <c r="F188" s="2" t="s">
        <v>504</v>
      </c>
      <c r="G188" s="2" t="s">
        <v>505</v>
      </c>
      <c r="H188" s="2" t="s">
        <v>1284</v>
      </c>
      <c r="I188" s="2" t="s">
        <v>1285</v>
      </c>
      <c r="J188" s="2" t="s">
        <v>1286</v>
      </c>
      <c r="K188" s="2" t="s">
        <v>111</v>
      </c>
      <c r="L188" s="2" t="s">
        <v>121</v>
      </c>
      <c r="M188" s="2" t="s">
        <v>26</v>
      </c>
      <c r="N188" s="2" t="s">
        <v>1077</v>
      </c>
      <c r="O188" s="2" t="s">
        <v>132</v>
      </c>
      <c r="P188" s="2" t="s">
        <v>1287</v>
      </c>
      <c r="Q188" s="2" t="s">
        <v>1023</v>
      </c>
    </row>
    <row r="189" customFormat="false" ht="46.25" hidden="false" customHeight="false" outlineLevel="0" collapsed="false">
      <c r="A189" s="2" t="s">
        <v>1288</v>
      </c>
      <c r="B189" s="2" t="n">
        <v>89</v>
      </c>
      <c r="C189" s="2" t="s">
        <v>398</v>
      </c>
      <c r="D189" s="2" t="s">
        <v>399</v>
      </c>
      <c r="E189" s="2" t="s">
        <v>46</v>
      </c>
      <c r="F189" s="2" t="s">
        <v>1289</v>
      </c>
      <c r="G189" s="2" t="s">
        <v>1290</v>
      </c>
      <c r="H189" s="2" t="s">
        <v>1291</v>
      </c>
      <c r="I189" s="2" t="s">
        <v>1292</v>
      </c>
      <c r="J189" s="2" t="s">
        <v>1293</v>
      </c>
      <c r="K189" s="2" t="s">
        <v>51</v>
      </c>
      <c r="L189" s="2" t="s">
        <v>26</v>
      </c>
      <c r="M189" s="2" t="s">
        <v>26</v>
      </c>
      <c r="N189" s="2" t="s">
        <v>1077</v>
      </c>
      <c r="O189" s="2" t="s">
        <v>52</v>
      </c>
      <c r="P189" s="2" t="s">
        <v>1294</v>
      </c>
      <c r="Q189" s="2" t="s">
        <v>406</v>
      </c>
    </row>
    <row r="190" customFormat="false" ht="35.05" hidden="false" customHeight="false" outlineLevel="0" collapsed="false">
      <c r="A190" s="2" t="s">
        <v>1295</v>
      </c>
      <c r="B190" s="2" t="n">
        <v>90</v>
      </c>
      <c r="C190" s="2" t="s">
        <v>1051</v>
      </c>
      <c r="D190" s="2" t="s">
        <v>1052</v>
      </c>
      <c r="E190" s="2" t="s">
        <v>46</v>
      </c>
      <c r="F190" s="2" t="s">
        <v>1296</v>
      </c>
      <c r="G190" s="2" t="s">
        <v>1297</v>
      </c>
      <c r="H190" s="2" t="s">
        <v>69</v>
      </c>
      <c r="I190" s="2" t="s">
        <v>255</v>
      </c>
      <c r="J190" s="2" t="s">
        <v>1298</v>
      </c>
      <c r="K190" s="2" t="s">
        <v>51</v>
      </c>
      <c r="L190" s="2" t="s">
        <v>26</v>
      </c>
      <c r="M190" s="2" t="s">
        <v>26</v>
      </c>
      <c r="N190" s="2" t="s">
        <v>1077</v>
      </c>
      <c r="O190" s="2" t="s">
        <v>52</v>
      </c>
      <c r="P190" s="2" t="s">
        <v>1299</v>
      </c>
      <c r="Q190" s="2" t="s">
        <v>1055</v>
      </c>
    </row>
    <row r="191" customFormat="false" ht="46.25" hidden="false" customHeight="false" outlineLevel="0" collapsed="false">
      <c r="A191" s="2" t="s">
        <v>1300</v>
      </c>
      <c r="B191" s="2" t="n">
        <v>95</v>
      </c>
      <c r="C191" s="2" t="s">
        <v>210</v>
      </c>
      <c r="D191" s="2" t="s">
        <v>211</v>
      </c>
      <c r="E191" s="2" t="s">
        <v>20</v>
      </c>
      <c r="F191" s="2" t="s">
        <v>1221</v>
      </c>
      <c r="G191" s="2" t="s">
        <v>1222</v>
      </c>
      <c r="H191" s="2" t="s">
        <v>802</v>
      </c>
      <c r="I191" s="2" t="s">
        <v>803</v>
      </c>
      <c r="J191" s="2" t="s">
        <v>1223</v>
      </c>
      <c r="K191" s="2" t="s">
        <v>111</v>
      </c>
      <c r="L191" s="2" t="s">
        <v>121</v>
      </c>
      <c r="M191" s="2" t="s">
        <v>26</v>
      </c>
      <c r="N191" s="2" t="s">
        <v>1077</v>
      </c>
      <c r="O191" s="2" t="s">
        <v>500</v>
      </c>
      <c r="P191" s="2" t="s">
        <v>1238</v>
      </c>
      <c r="Q191" s="2" t="s">
        <v>216</v>
      </c>
    </row>
    <row r="192" customFormat="false" ht="35.05" hidden="false" customHeight="false" outlineLevel="0" collapsed="false">
      <c r="A192" s="2" t="s">
        <v>1301</v>
      </c>
      <c r="B192" s="2" t="n">
        <v>96</v>
      </c>
      <c r="C192" s="2" t="s">
        <v>1057</v>
      </c>
      <c r="D192" s="2" t="s">
        <v>1058</v>
      </c>
      <c r="E192" s="2" t="s">
        <v>89</v>
      </c>
      <c r="F192" s="2" t="s">
        <v>1302</v>
      </c>
      <c r="G192" s="2" t="s">
        <v>1303</v>
      </c>
      <c r="H192" s="2" t="s">
        <v>1304</v>
      </c>
      <c r="I192" s="2" t="s">
        <v>1305</v>
      </c>
      <c r="J192" s="2" t="s">
        <v>1306</v>
      </c>
      <c r="K192" s="2" t="s">
        <v>111</v>
      </c>
      <c r="L192" s="2" t="s">
        <v>26</v>
      </c>
      <c r="M192" s="2" t="s">
        <v>26</v>
      </c>
      <c r="N192" s="2" t="s">
        <v>1077</v>
      </c>
      <c r="O192" s="2" t="s">
        <v>52</v>
      </c>
      <c r="P192" s="2" t="s">
        <v>1307</v>
      </c>
      <c r="Q192" s="2" t="s">
        <v>1064</v>
      </c>
    </row>
    <row r="193" customFormat="false" ht="23.85" hidden="false" customHeight="false" outlineLevel="0" collapsed="false">
      <c r="A193" s="2" t="s">
        <v>1308</v>
      </c>
      <c r="B193" s="2" t="n">
        <v>97</v>
      </c>
      <c r="C193" s="2" t="s">
        <v>408</v>
      </c>
      <c r="D193" s="2" t="s">
        <v>409</v>
      </c>
      <c r="E193" s="2" t="s">
        <v>46</v>
      </c>
      <c r="F193" s="2" t="s">
        <v>779</v>
      </c>
      <c r="G193" s="2" t="s">
        <v>780</v>
      </c>
      <c r="H193" s="2" t="s">
        <v>258</v>
      </c>
      <c r="I193" s="2" t="s">
        <v>259</v>
      </c>
      <c r="J193" s="2"/>
      <c r="K193" s="2" t="s">
        <v>51</v>
      </c>
      <c r="L193" s="2" t="s">
        <v>26</v>
      </c>
      <c r="M193" s="2" t="s">
        <v>26</v>
      </c>
      <c r="N193" s="2" t="s">
        <v>1077</v>
      </c>
      <c r="O193" s="2" t="s">
        <v>52</v>
      </c>
      <c r="P193" s="2" t="s">
        <v>1309</v>
      </c>
      <c r="Q193" s="2" t="s">
        <v>415</v>
      </c>
    </row>
    <row r="194" customFormat="false" ht="46.25" hidden="false" customHeight="false" outlineLevel="0" collapsed="false">
      <c r="A194" s="2" t="s">
        <v>1310</v>
      </c>
      <c r="B194" s="2" t="n">
        <v>99</v>
      </c>
      <c r="C194" s="2" t="s">
        <v>1311</v>
      </c>
      <c r="D194" s="2" t="s">
        <v>1312</v>
      </c>
      <c r="E194" s="2" t="s">
        <v>46</v>
      </c>
      <c r="F194" s="2" t="s">
        <v>954</v>
      </c>
      <c r="G194" s="2" t="s">
        <v>955</v>
      </c>
      <c r="H194" s="2" t="s">
        <v>1313</v>
      </c>
      <c r="I194" s="2" t="s">
        <v>1314</v>
      </c>
      <c r="J194" s="2" t="s">
        <v>1315</v>
      </c>
      <c r="K194" s="2" t="s">
        <v>51</v>
      </c>
      <c r="L194" s="2" t="s">
        <v>26</v>
      </c>
      <c r="M194" s="2" t="s">
        <v>26</v>
      </c>
      <c r="N194" s="2" t="s">
        <v>1077</v>
      </c>
      <c r="O194" s="2" t="s">
        <v>52</v>
      </c>
      <c r="P194" s="2" t="s">
        <v>1316</v>
      </c>
      <c r="Q194" s="2" t="s">
        <v>1317</v>
      </c>
    </row>
    <row r="195" customFormat="false" ht="23.85" hidden="false" customHeight="false" outlineLevel="0" collapsed="false">
      <c r="A195" s="2" t="s">
        <v>1318</v>
      </c>
      <c r="B195" s="2" t="n">
        <v>100</v>
      </c>
      <c r="C195" s="2" t="s">
        <v>1066</v>
      </c>
      <c r="D195" s="2" t="s">
        <v>1067</v>
      </c>
      <c r="E195" s="2" t="s">
        <v>58</v>
      </c>
      <c r="F195" s="2" t="s">
        <v>1319</v>
      </c>
      <c r="G195" s="2" t="s">
        <v>1320</v>
      </c>
      <c r="H195" s="2" t="s">
        <v>184</v>
      </c>
      <c r="I195" s="2" t="s">
        <v>185</v>
      </c>
      <c r="J195" s="2" t="s">
        <v>1321</v>
      </c>
      <c r="K195" s="2" t="s">
        <v>25</v>
      </c>
      <c r="L195" s="2" t="s">
        <v>26</v>
      </c>
      <c r="M195" s="2" t="s">
        <v>26</v>
      </c>
      <c r="N195" s="2" t="s">
        <v>1077</v>
      </c>
      <c r="O195" s="2" t="s">
        <v>132</v>
      </c>
      <c r="P195" s="2" t="s">
        <v>1322</v>
      </c>
      <c r="Q195" s="2" t="s">
        <v>1070</v>
      </c>
    </row>
  </sheetData>
  <autoFilter ref="A1:Q195"/>
  <conditionalFormatting sqref="N2:N195">
    <cfRule type="expression" priority="2" aboveAverage="0" equalAverage="0" bottom="0" percent="0" rank="0" text="" dxfId="6">
      <formula>LEFT(N2,9)="Potential"</formula>
    </cfRule>
    <cfRule type="expression" priority="3" aboveAverage="0" equalAverage="0" bottom="0" percent="0" rank="0" text="" dxfId="7">
      <formula>LEFT(N2,9)="Explained"</formula>
    </cfRule>
    <cfRule type="expression" priority="4" aboveAverage="0" equalAverage="0" bottom="0" percent="0" rank="0" text="" dxfId="8">
      <formula>LEFT(N2,12)="Insufficient"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7" min="2" style="0" width="16"/>
  </cols>
  <sheetData>
    <row r="1" customFormat="false" ht="15" hidden="false" customHeight="false" outlineLevel="0" collapsed="false">
      <c r="A1" s="1" t="s">
        <v>13</v>
      </c>
      <c r="B1" s="1" t="s">
        <v>58</v>
      </c>
      <c r="C1" s="1" t="s">
        <v>20</v>
      </c>
      <c r="D1" s="1" t="s">
        <v>34</v>
      </c>
      <c r="E1" s="1" t="s">
        <v>89</v>
      </c>
      <c r="F1" s="1" t="s">
        <v>46</v>
      </c>
      <c r="G1" s="1" t="s">
        <v>1323</v>
      </c>
    </row>
    <row r="2" customFormat="false" ht="15" hidden="false" customHeight="false" outlineLevel="0" collapsed="false">
      <c r="A2" s="0" t="s">
        <v>27</v>
      </c>
      <c r="B2" s="0" t="n">
        <f aca="false">COUNTIFS('Discrepancy log'!$N$2:$N$195,$A2,'Discrepancy log'!$E$2:$E$195,"Nature")</f>
        <v>1</v>
      </c>
      <c r="C2" s="0" t="n">
        <f aca="false">COUNTIFS('Discrepancy log'!$N$2:$N$195,$A2,'Discrepancy log'!$E$2:$E$195,"Part of body")</f>
        <v>1</v>
      </c>
      <c r="D2" s="0" t="n">
        <f aca="false">COUNTIFS('Discrepancy log'!$N$2:$N$195,$A2,'Discrepancy log'!$E$2:$E$195,"Event/Exposure")</f>
        <v>1</v>
      </c>
      <c r="E2" s="0" t="n">
        <f aca="false">COUNTIFS('Discrepancy log'!$N$2:$N$195,$A2,'Discrepancy log'!$E$2:$E$195,"Source")</f>
        <v>0</v>
      </c>
      <c r="F2" s="0" t="n">
        <f aca="false">COUNTIFS('Discrepancy log'!$N$2:$N$195,$A2,'Discrepancy log'!$E$2:$E$195,"Secondary source")</f>
        <v>1</v>
      </c>
      <c r="G2" s="0" t="n">
        <f aca="false">SUM(B2:F2)</f>
        <v>4</v>
      </c>
    </row>
    <row r="3" customFormat="false" ht="15" hidden="false" customHeight="false" outlineLevel="0" collapsed="false">
      <c r="A3" s="0" t="s">
        <v>74</v>
      </c>
      <c r="B3" s="0" t="n">
        <f aca="false">COUNTIFS('Discrepancy log'!$N$2:$N$195,$A3,'Discrepancy log'!$E$2:$E$195,"Nature")</f>
        <v>2</v>
      </c>
      <c r="C3" s="0" t="n">
        <f aca="false">COUNTIFS('Discrepancy log'!$N$2:$N$195,$A3,'Discrepancy log'!$E$2:$E$195,"Part of body")</f>
        <v>2</v>
      </c>
      <c r="D3" s="0" t="n">
        <f aca="false">COUNTIFS('Discrepancy log'!$N$2:$N$195,$A3,'Discrepancy log'!$E$2:$E$195,"Event/Exposure")</f>
        <v>7</v>
      </c>
      <c r="E3" s="0" t="n">
        <f aca="false">COUNTIFS('Discrepancy log'!$N$2:$N$195,$A3,'Discrepancy log'!$E$2:$E$195,"Source")</f>
        <v>5</v>
      </c>
      <c r="F3" s="0" t="n">
        <f aca="false">COUNTIFS('Discrepancy log'!$N$2:$N$195,$A3,'Discrepancy log'!$E$2:$E$195,"Secondary source")</f>
        <v>1</v>
      </c>
      <c r="G3" s="0" t="n">
        <f aca="false">SUM(B3:F3)</f>
        <v>17</v>
      </c>
    </row>
    <row r="4" customFormat="false" ht="15" hidden="false" customHeight="false" outlineLevel="0" collapsed="false">
      <c r="A4" s="0" t="s">
        <v>235</v>
      </c>
      <c r="B4" s="0" t="n">
        <f aca="false">COUNTIFS('Discrepancy log'!$N$2:$N$195,$A4,'Discrepancy log'!$E$2:$E$195,"Nature")</f>
        <v>3</v>
      </c>
      <c r="C4" s="0" t="n">
        <f aca="false">COUNTIFS('Discrepancy log'!$N$2:$N$195,$A4,'Discrepancy log'!$E$2:$E$195,"Part of body")</f>
        <v>5</v>
      </c>
      <c r="D4" s="0" t="n">
        <f aca="false">COUNTIFS('Discrepancy log'!$N$2:$N$195,$A4,'Discrepancy log'!$E$2:$E$195,"Event/Exposure")</f>
        <v>5</v>
      </c>
      <c r="E4" s="0" t="n">
        <f aca="false">COUNTIFS('Discrepancy log'!$N$2:$N$195,$A4,'Discrepancy log'!$E$2:$E$195,"Source")</f>
        <v>7</v>
      </c>
      <c r="F4" s="0" t="n">
        <f aca="false">COUNTIFS('Discrepancy log'!$N$2:$N$195,$A4,'Discrepancy log'!$E$2:$E$195,"Secondary source")</f>
        <v>8</v>
      </c>
      <c r="G4" s="0" t="n">
        <f aca="false">SUM(B4:F4)</f>
        <v>28</v>
      </c>
    </row>
    <row r="5" customFormat="false" ht="15" hidden="false" customHeight="false" outlineLevel="0" collapsed="false">
      <c r="A5" s="0" t="s">
        <v>421</v>
      </c>
      <c r="B5" s="0" t="n">
        <f aca="false">COUNTIFS('Discrepancy log'!$N$2:$N$195,$A5,'Discrepancy log'!$E$2:$E$195,"Nature")</f>
        <v>12</v>
      </c>
      <c r="C5" s="0" t="n">
        <f aca="false">COUNTIFS('Discrepancy log'!$N$2:$N$195,$A5,'Discrepancy log'!$E$2:$E$195,"Part of body")</f>
        <v>17</v>
      </c>
      <c r="D5" s="0" t="n">
        <f aca="false">COUNTIFS('Discrepancy log'!$N$2:$N$195,$A5,'Discrepancy log'!$E$2:$E$195,"Event/Exposure")</f>
        <v>25</v>
      </c>
      <c r="E5" s="0" t="n">
        <f aca="false">COUNTIFS('Discrepancy log'!$N$2:$N$195,$A5,'Discrepancy log'!$E$2:$E$195,"Source")</f>
        <v>17</v>
      </c>
      <c r="F5" s="0" t="n">
        <f aca="false">COUNTIFS('Discrepancy log'!$N$2:$N$195,$A5,'Discrepancy log'!$E$2:$E$195,"Secondary source")</f>
        <v>29</v>
      </c>
      <c r="G5" s="0" t="n">
        <f aca="false">SUM(B5:F5)</f>
        <v>100</v>
      </c>
    </row>
    <row r="6" customFormat="false" ht="15" hidden="false" customHeight="false" outlineLevel="0" collapsed="false">
      <c r="A6" s="0" t="s">
        <v>1077</v>
      </c>
      <c r="B6" s="0" t="n">
        <f aca="false">COUNTIFS('Discrepancy log'!$N$2:$N$195,$A6,'Discrepancy log'!$E$2:$E$195,"Nature")</f>
        <v>10</v>
      </c>
      <c r="C6" s="0" t="n">
        <f aca="false">COUNTIFS('Discrepancy log'!$N$2:$N$195,$A6,'Discrepancy log'!$E$2:$E$195,"Part of body")</f>
        <v>12</v>
      </c>
      <c r="D6" s="0" t="n">
        <f aca="false">COUNTIFS('Discrepancy log'!$N$2:$N$195,$A6,'Discrepancy log'!$E$2:$E$195,"Event/Exposure")</f>
        <v>6</v>
      </c>
      <c r="E6" s="0" t="n">
        <f aca="false">COUNTIFS('Discrepancy log'!$N$2:$N$195,$A6,'Discrepancy log'!$E$2:$E$195,"Source")</f>
        <v>7</v>
      </c>
      <c r="F6" s="0" t="n">
        <f aca="false">COUNTIFS('Discrepancy log'!$N$2:$N$195,$A6,'Discrepancy log'!$E$2:$E$195,"Secondary source")</f>
        <v>10</v>
      </c>
      <c r="G6" s="0" t="n">
        <f aca="false">SUM(B6:F6)</f>
        <v>45</v>
      </c>
    </row>
    <row r="7" customFormat="false" ht="15" hidden="false" customHeight="false" outlineLevel="0" collapsed="false">
      <c r="A7" s="3" t="s">
        <v>1324</v>
      </c>
      <c r="B7" s="4" t="n">
        <f aca="false">SUM(B2:B6)</f>
        <v>28</v>
      </c>
      <c r="C7" s="4" t="n">
        <f aca="false">SUM(C2:C6)</f>
        <v>37</v>
      </c>
      <c r="D7" s="4" t="n">
        <f aca="false">SUM(D2:D6)</f>
        <v>44</v>
      </c>
      <c r="E7" s="4" t="n">
        <f aca="false">SUM(E2:E6)</f>
        <v>36</v>
      </c>
      <c r="F7" s="4" t="n">
        <f aca="false">SUM(F2:F6)</f>
        <v>49</v>
      </c>
      <c r="G7" s="4" t="n">
        <f aca="false">SUM(G2:G6)</f>
        <v>194</v>
      </c>
    </row>
    <row r="9" customFormat="false" ht="15" hidden="false" customHeight="true" outlineLevel="0" collapsed="false">
      <c r="A9" s="5" t="s">
        <v>1325</v>
      </c>
      <c r="B9" s="5"/>
      <c r="C9" s="5"/>
      <c r="D9" s="5"/>
      <c r="E9" s="5"/>
      <c r="F9" s="5"/>
      <c r="G9" s="5"/>
    </row>
    <row r="10" customFormat="false" ht="15" hidden="false" customHeight="false" outlineLevel="0" collapsed="false">
      <c r="A10" s="5"/>
      <c r="B10" s="5"/>
      <c r="C10" s="5"/>
      <c r="D10" s="5"/>
      <c r="E10" s="5"/>
      <c r="F10" s="5"/>
      <c r="G10" s="5"/>
    </row>
    <row r="11" customFormat="false" ht="15" hidden="false" customHeight="false" outlineLevel="0" collapsed="false">
      <c r="A11" s="5"/>
      <c r="B11" s="5"/>
      <c r="C11" s="5"/>
      <c r="D11" s="5"/>
      <c r="E11" s="5"/>
      <c r="F11" s="5"/>
      <c r="G11" s="5"/>
    </row>
  </sheetData>
  <mergeCells count="1">
    <mergeCell ref="A9:G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2026-10-28T10:45:36Z</dcterms:created>
  <dc:creator>openpyxl</dc:creator>
  <dc:description/>
  <dc:language>en-US</dc:language>
  <cp:lastModifiedBy/>
  <dcterms:modified xsi:type="dcterms:W3CDTF">2026-10-28T10:45:36Z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