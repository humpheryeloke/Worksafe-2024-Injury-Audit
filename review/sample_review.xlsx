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ample review" sheetId="1" state="visible" r:id="rId3"/>
    <sheet name="Summary" sheetId="2" state="visible" r:id="rId4"/>
    <sheet name="Legend" sheetId="3" state="visible" r:id="rId5"/>
  </sheets>
  <definedNames>
    <definedName function="false" hidden="true" localSheetId="0" name="_xlnm._FilterDatabase" vbProcedure="false">'Sample review'!$A$1:$AM$101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<sst xmlns="http://schemas.openxmlformats.org/spreadsheetml/2006/main" count="3700" uniqueCount="1654">
  <si>
    <t xml:space="preserve">Review ID</t>
  </si>
  <si>
    <t xml:space="preserve">Incident ID</t>
  </si>
  <si>
    <t xml:space="preserve">Event date</t>
  </si>
  <si>
    <t xml:space="preserve">Sampling stratum (Event division)</t>
  </si>
  <si>
    <t xml:space="preserve">Final narrative (line breaks removed)</t>
  </si>
  <si>
    <t xml:space="preserve">Nature - recorded code</t>
  </si>
  <si>
    <t xml:space="preserve">Nature - recorded title</t>
  </si>
  <si>
    <t xml:space="preserve">Part of body - recorded code</t>
  </si>
  <si>
    <t xml:space="preserve">Part of body - recorded title</t>
  </si>
  <si>
    <t xml:space="preserve">Event/Exposure - recorded code</t>
  </si>
  <si>
    <t xml:space="preserve">Event/Exposure - recorded title</t>
  </si>
  <si>
    <t xml:space="preserve">Source - recorded code</t>
  </si>
  <si>
    <t xml:space="preserve">Source - recorded title</t>
  </si>
  <si>
    <t xml:space="preserve">Secondary source - recorded code</t>
  </si>
  <si>
    <t xml:space="preserve">Secondary source - recorded title</t>
  </si>
  <si>
    <t xml:space="preserve">Nature - my code</t>
  </si>
  <si>
    <t xml:space="preserve">Nature - my title</t>
  </si>
  <si>
    <t xml:space="preserve">Nature - my acceptable alternates</t>
  </si>
  <si>
    <t xml:space="preserve">Part of body - my code</t>
  </si>
  <si>
    <t xml:space="preserve">Part of body - my title</t>
  </si>
  <si>
    <t xml:space="preserve">Part of body - my acceptable alternates</t>
  </si>
  <si>
    <t xml:space="preserve">Event/Exposure - my code</t>
  </si>
  <si>
    <t xml:space="preserve">Event/Exposure - my title</t>
  </si>
  <si>
    <t xml:space="preserve">Event/Exposure - my acceptable alternates</t>
  </si>
  <si>
    <t xml:space="preserve">Source - my code</t>
  </si>
  <si>
    <t xml:space="preserve">Source - my title</t>
  </si>
  <si>
    <t xml:space="preserve">Source - my acceptable alternates</t>
  </si>
  <si>
    <t xml:space="preserve">Secondary source - my code</t>
  </si>
  <si>
    <t xml:space="preserve">Secondary source - my title</t>
  </si>
  <si>
    <t xml:space="preserve">Secondary source - my acceptable alternates</t>
  </si>
  <si>
    <t xml:space="preserve">Nature - agreement status</t>
  </si>
  <si>
    <t xml:space="preserve">Part of body - agreement status</t>
  </si>
  <si>
    <t xml:space="preserve">Event/Exposure - agreement status</t>
  </si>
  <si>
    <t xml:space="preserve">Source - agreement status</t>
  </si>
  <si>
    <t xml:space="preserve">Secondary source - agreement status</t>
  </si>
  <si>
    <t xml:space="preserve">Fields I flagged inconclusive</t>
  </si>
  <si>
    <t xml:space="preserve">My confidence (H/M/L)</t>
  </si>
  <si>
    <t xml:space="preserve">Reviewer rationale (written blind, from narrative only)</t>
  </si>
  <si>
    <t xml:space="preserve">Reviewer notes after comparison</t>
  </si>
  <si>
    <t xml:space="preserve">20241110833</t>
  </si>
  <si>
    <t xml:space="preserve">2024-11-20</t>
  </si>
  <si>
    <t xml:space="preserve">5</t>
  </si>
  <si>
    <t xml:space="preserve">An employee was using a plasma cutter that was set up on a self-propelled track system to bevel the edge of a four-sided plate. The employee's right thigh was impaled by a piece of slag metal and he suffered burns to his right leg.</t>
  </si>
  <si>
    <t xml:space="preserve">1833</t>
  </si>
  <si>
    <t xml:space="preserve">Surface, flesh wounds and burns, electrical injuries</t>
  </si>
  <si>
    <t xml:space="preserve">521</t>
  </si>
  <si>
    <t xml:space="preserve">Thigh(s)</t>
  </si>
  <si>
    <t xml:space="preserve">533</t>
  </si>
  <si>
    <t xml:space="preserve">Contact with hot objects or substances</t>
  </si>
  <si>
    <t xml:space="preserve">4162</t>
  </si>
  <si>
    <t xml:space="preserve">Molten metal, slag</t>
  </si>
  <si>
    <t xml:space="preserve">3599</t>
  </si>
  <si>
    <t xml:space="preserve">Other metal, wood, and special material machinery — n.e.c.</t>
  </si>
  <si>
    <t xml:space="preserve">132, 1520, 1590</t>
  </si>
  <si>
    <t xml:space="preserve">520</t>
  </si>
  <si>
    <t xml:space="preserve">Leg(s)— unspecified</t>
  </si>
  <si>
    <t xml:space="preserve">521, 528</t>
  </si>
  <si>
    <t xml:space="preserve">6422, 642</t>
  </si>
  <si>
    <t xml:space="preserve">991</t>
  </si>
  <si>
    <t xml:space="preserve">Secondary source not applicable</t>
  </si>
  <si>
    <t xml:space="preserve">Exact agreement</t>
  </si>
  <si>
    <t xml:space="preserve">Explained: recorded supported</t>
  </si>
  <si>
    <t xml:space="preserve">Explained: rule interpretation</t>
  </si>
  <si>
    <t xml:space="preserve">M</t>
  </si>
  <si>
    <t xml:space="preserve">Slag impaled thigh (puncture) and burned leg: two natures in different groups -&gt; multiple code. Slag both burned and impaled; Event 533 precedes 642 in order of precedence, 6422 is a defensible alternative. Slag = molten metal.</t>
  </si>
  <si>
    <t xml:space="preserve">Part of body: Narrative states the right thigh was impaled; thigh (521) is supported. | Secondary source: Secondary source for the plasma-cutter track system is defensible as an item contributing to the event; narrative does not exclude it.</t>
  </si>
  <si>
    <t xml:space="preserve">2024087238</t>
  </si>
  <si>
    <t xml:space="preserve">2024-08-07</t>
  </si>
  <si>
    <t xml:space="preserve">7</t>
  </si>
  <si>
    <t xml:space="preserve">An employee was performing skills training in the heat when they became overexerted and were hospitalized with a muscle injury.</t>
  </si>
  <si>
    <t xml:space="preserve">199</t>
  </si>
  <si>
    <t xml:space="preserve">Other traumatic injuries — n.e.c.</t>
  </si>
  <si>
    <t xml:space="preserve">883</t>
  </si>
  <si>
    <t xml:space="preserve">Body systems and other part(s) of body</t>
  </si>
  <si>
    <t xml:space="preserve">738</t>
  </si>
  <si>
    <t xml:space="preserve">Multiple types of bodily position and motion</t>
  </si>
  <si>
    <t xml:space="preserve">562</t>
  </si>
  <si>
    <t xml:space="preserve">Bodily motion or position of injured, ill worker</t>
  </si>
  <si>
    <t xml:space="preserve">9542</t>
  </si>
  <si>
    <t xml:space="preserve">Heat environmental</t>
  </si>
  <si>
    <t xml:space="preserve">1440</t>
  </si>
  <si>
    <t xml:space="preserve">Sprains, strains, tears— unspecified</t>
  </si>
  <si>
    <t xml:space="preserve">1441, 1442, 140, 1722, 1721</t>
  </si>
  <si>
    <t xml:space="preserve">990</t>
  </si>
  <si>
    <t xml:space="preserve">Part of body— unspecified</t>
  </si>
  <si>
    <t xml:space="preserve">888</t>
  </si>
  <si>
    <t xml:space="preserve">5310</t>
  </si>
  <si>
    <t xml:space="preserve">Exposure to environmental heat— unspecified</t>
  </si>
  <si>
    <t xml:space="preserve">5311, 5312, 70, 78, 739</t>
  </si>
  <si>
    <t xml:space="preserve">Heat—environmental</t>
  </si>
  <si>
    <t xml:space="preserve">Insufficient information</t>
  </si>
  <si>
    <t xml:space="preserve">P</t>
  </si>
  <si>
    <t xml:space="preserve">L</t>
  </si>
  <si>
    <t xml:space="preserve">'Muscle injury' without body part; heat plus exertion with no location. Event 53x precedes 7x in precedence; indoor/outdoor not stated. Body part not stated.</t>
  </si>
  <si>
    <t xml:space="preserve">Nature: 'Muscle injury' from heat/overexertion is not specific enough to confirm 199 vs a sprain/strain or other nature. | Part of body: Blind coder flagged this field inconclusive; narrative does not give enough detail. | Event/Exposure: Heat exposure (531x) versus overexertion/multiple body motion (738): order-of-precedence judgement under Event rule R2.b. | Source: Source follows the event chosen (bodily motion vs heat); consistent with recorded event. | Secondary source: Heat recorded as secondary source, consistent with recorded event/source pair.</t>
  </si>
  <si>
    <t xml:space="preserve">2024032664</t>
  </si>
  <si>
    <t xml:space="preserve">2024-03-25</t>
  </si>
  <si>
    <t xml:space="preserve">6</t>
  </si>
  <si>
    <t xml:space="preserve">An employee was washing dishes when he bumped into a dishwasher that contacted him in the pelvic area and ruptured a hernia.</t>
  </si>
  <si>
    <t xml:space="preserve">142</t>
  </si>
  <si>
    <t xml:space="preserve">Hernias</t>
  </si>
  <si>
    <t xml:space="preserve">330</t>
  </si>
  <si>
    <t xml:space="preserve">Abdomen — unspecified</t>
  </si>
  <si>
    <t xml:space="preserve">6652</t>
  </si>
  <si>
    <t xml:space="preserve">Walked or ran into stationary object</t>
  </si>
  <si>
    <t xml:space="preserve">3333</t>
  </si>
  <si>
    <t xml:space="preserve">Dishwashers</t>
  </si>
  <si>
    <t xml:space="preserve">340</t>
  </si>
  <si>
    <t xml:space="preserve">Pelvic region— unspecified</t>
  </si>
  <si>
    <t xml:space="preserve">3413, 331, 3419</t>
  </si>
  <si>
    <t xml:space="preserve">6650</t>
  </si>
  <si>
    <t xml:space="preserve">Struck against stationary object— unspecified</t>
  </si>
  <si>
    <t xml:space="preserve">6652, 6659, 665</t>
  </si>
  <si>
    <t xml:space="preserve">Hernia ruptured by contact with dishwasher at pelvic area. Contact with stationary dishwasher; walking vs. bumping not stated.</t>
  </si>
  <si>
    <t xml:space="preserve">Part of body: Hernia is an abdominal-wall condition; contact was at the pelvic area. Both parts defensible (Part R2, external part). | Event/Exposure: 'Bumped into' a dishwasher fits 6652 walked/ran into stationary object.</t>
  </si>
  <si>
    <t xml:space="preserve">2024064855</t>
  </si>
  <si>
    <t xml:space="preserve">2024-06-03</t>
  </si>
  <si>
    <t xml:space="preserve">An employee was spraying vegetation around power lines where the grass was tall. He was bitten on the back of his knee by a snake. The employee was hospitalized with swelling, pain, and discoloration.</t>
  </si>
  <si>
    <t xml:space="preserve">167</t>
  </si>
  <si>
    <t xml:space="preserve">Allergic and irritant dermatitis — acute</t>
  </si>
  <si>
    <t xml:space="preserve">523</t>
  </si>
  <si>
    <t xml:space="preserve">Lower leg(s)</t>
  </si>
  <si>
    <t xml:space="preserve">6210</t>
  </si>
  <si>
    <t xml:space="preserve">Bitten or stung by animal — unspecified</t>
  </si>
  <si>
    <t xml:space="preserve">5140</t>
  </si>
  <si>
    <t xml:space="preserve">Reptiles — unspecified</t>
  </si>
  <si>
    <t xml:space="preserve">549</t>
  </si>
  <si>
    <t xml:space="preserve">Other plants, vegetation</t>
  </si>
  <si>
    <t xml:space="preserve">Allergic and irritant dermatitis— acute</t>
  </si>
  <si>
    <t xml:space="preserve">160, 132, 102</t>
  </si>
  <si>
    <t xml:space="preserve">522</t>
  </si>
  <si>
    <t xml:space="preserve">Knee(s)</t>
  </si>
  <si>
    <t xml:space="preserve">Bitten or stung by animal— unspecified</t>
  </si>
  <si>
    <t xml:space="preserve">6212, 6213, 621</t>
  </si>
  <si>
    <t xml:space="preserve">Reptiles— unspecified</t>
  </si>
  <si>
    <t xml:space="preserve">5141, 5142, 514</t>
  </si>
  <si>
    <t xml:space="preserve">Potential: conflict</t>
  </si>
  <si>
    <t xml:space="preserve">Snake bite, species/venom not stated; event guidance sends unspecified bites without systemic reaction to Nature 167. Back of knee = knee.</t>
  </si>
  <si>
    <t xml:space="preserve">Part of body: Narrative states bite on the back of the knee; recorded lower leg (523). | Secondary source: Tall vegetation described as the setting; recording it as secondary source is defensible.</t>
  </si>
  <si>
    <t xml:space="preserve">20241211148</t>
  </si>
  <si>
    <t xml:space="preserve">2024-12-03</t>
  </si>
  <si>
    <t xml:space="preserve">An employee was unloading boxes when they stepped back and fractured their knee.</t>
  </si>
  <si>
    <t xml:space="preserve">124</t>
  </si>
  <si>
    <t xml:space="preserve">Fractures</t>
  </si>
  <si>
    <t xml:space="preserve">736</t>
  </si>
  <si>
    <t xml:space="preserve">Walking, without other incident</t>
  </si>
  <si>
    <t xml:space="preserve">Event or exposure— unspecified</t>
  </si>
  <si>
    <t xml:space="preserve">736, 6651, 432, 6659</t>
  </si>
  <si>
    <t xml:space="preserve">Source, secondary source— unspecified</t>
  </si>
  <si>
    <t xml:space="preserve">2112</t>
  </si>
  <si>
    <t xml:space="preserve">E,S</t>
  </si>
  <si>
    <t xml:space="preserve">Fractured knee but no mechanism stated (no slip, trip, fall or contact described). Event and source cannot be assigned.</t>
  </si>
  <si>
    <t xml:space="preserve">Event/Exposure: Blind coder flagged this field inconclusive; narrative does not give enough detail. | Source: Blind coder flagged this field inconclusive; narrative does not give enough detail. | Secondary source: Blind coder flagged this field inconclusive; narrative does not give enough detail.</t>
  </si>
  <si>
    <t xml:space="preserve">2024010008</t>
  </si>
  <si>
    <t xml:space="preserve">2024-01-01</t>
  </si>
  <si>
    <t xml:space="preserve">3</t>
  </si>
  <si>
    <t xml:space="preserve">An employee was inflating a tire on a flatbed trailer when the tire exploded. The rim struck the employee, resulting in a broken right arm.</t>
  </si>
  <si>
    <t xml:space="preserve">420</t>
  </si>
  <si>
    <t xml:space="preserve">Arm(s) — unspecified</t>
  </si>
  <si>
    <t xml:space="preserve">313</t>
  </si>
  <si>
    <t xml:space="preserve">Explosion of pressure vessel, piping, or tire</t>
  </si>
  <si>
    <t xml:space="preserve">4712</t>
  </si>
  <si>
    <t xml:space="preserve">Tires, inner tubes</t>
  </si>
  <si>
    <t xml:space="preserve">4713</t>
  </si>
  <si>
    <t xml:space="preserve">Wheels, tire rims</t>
  </si>
  <si>
    <t xml:space="preserve">Arm(s)— unspecified</t>
  </si>
  <si>
    <t xml:space="preserve">421, 423</t>
  </si>
  <si>
    <t xml:space="preserve">6422, 319</t>
  </si>
  <si>
    <t xml:space="preserve">4713, 4718</t>
  </si>
  <si>
    <t xml:space="preserve">122, 4741</t>
  </si>
  <si>
    <t xml:space="preserve">Tire exploded while being inflated; Event 6422 excludes tires/rims that exploded -&gt; 313. Source = pressurized tire.</t>
  </si>
  <si>
    <t xml:space="preserve">Secondary source: Narrative states the rim struck the worker; rim (4713) is supported.</t>
  </si>
  <si>
    <t xml:space="preserve">2024042890</t>
  </si>
  <si>
    <t xml:space="preserve">2024-04-02</t>
  </si>
  <si>
    <t xml:space="preserve">An employee was stocking customer shelves when he was getting up from the floor and lost his balance, hyperextending his left leg. This resulted in the surgical amputation of the leg above the knee.</t>
  </si>
  <si>
    <t xml:space="preserve">1221</t>
  </si>
  <si>
    <t xml:space="preserve">Amputations involving bone loss</t>
  </si>
  <si>
    <t xml:space="preserve">734</t>
  </si>
  <si>
    <t xml:space="preserve">Standing up, sitting down, laying down</t>
  </si>
  <si>
    <t xml:space="preserve">1220</t>
  </si>
  <si>
    <t xml:space="preserve">Amputations, avulsions, enucleations— unspecified</t>
  </si>
  <si>
    <t xml:space="preserve">1221, 1441, 1440, 100</t>
  </si>
  <si>
    <t xml:space="preserve">521, 522</t>
  </si>
  <si>
    <t xml:space="preserve">432, 4319, 733, 730</t>
  </si>
  <si>
    <t xml:space="preserve">Surgical amputation after hyperextension while rising from floor. Initial injury type not described; amputation is the stated outcome. Rule 4(e)(2) (sequelae) argues for the initial injury but it is not specified.</t>
  </si>
  <si>
    <t xml:space="preserve">Nature: Surgical above-knee amputation implies bone loss (1221). | Part of body: Amputation above the knee involves the thigh (521).</t>
  </si>
  <si>
    <t xml:space="preserve">2024010693</t>
  </si>
  <si>
    <t xml:space="preserve">2024-01-23</t>
  </si>
  <si>
    <t xml:space="preserve">4</t>
  </si>
  <si>
    <t xml:space="preserve">An employee was walking to the break room when they slipped on a puddle of rain water on the floor and fell. The employee suffered a head injury.</t>
  </si>
  <si>
    <t xml:space="preserve">110</t>
  </si>
  <si>
    <t xml:space="preserve">Injuries to the brain, spinal cord — unspecified</t>
  </si>
  <si>
    <t xml:space="preserve">111</t>
  </si>
  <si>
    <t xml:space="preserve">Brain</t>
  </si>
  <si>
    <t xml:space="preserve">4312</t>
  </si>
  <si>
    <t xml:space="preserve">Fall on same level due to slip or trip</t>
  </si>
  <si>
    <t xml:space="preserve">6624</t>
  </si>
  <si>
    <t xml:space="preserve">Other constructed surface</t>
  </si>
  <si>
    <t xml:space="preserve">9523</t>
  </si>
  <si>
    <t xml:space="preserve">Rain</t>
  </si>
  <si>
    <t xml:space="preserve">100</t>
  </si>
  <si>
    <t xml:space="preserve">Traumatic injuries or exposures— unspecified</t>
  </si>
  <si>
    <t xml:space="preserve">110, 1113, 134, 132</t>
  </si>
  <si>
    <t xml:space="preserve">10</t>
  </si>
  <si>
    <t xml:space="preserve">Head— unspecified</t>
  </si>
  <si>
    <t xml:space="preserve">4319</t>
  </si>
  <si>
    <t xml:space="preserve">662, 660</t>
  </si>
  <si>
    <t xml:space="preserve">4152</t>
  </si>
  <si>
    <t xml:space="preserve">Water, liquids—nonchemical</t>
  </si>
  <si>
    <t xml:space="preserve">9520</t>
  </si>
  <si>
    <t xml:space="preserve">Slip on rain-water puddle on floor; head injury unspecified. Surface = constructed floor; item slipped on = non-chemical liquid (wet floor).</t>
  </si>
  <si>
    <t xml:space="preserve">Nature: 'Head injury' alone does not specify brain injury; recorded 110 needs detail not in the narrative. | Part of body: Recorded brain (111); narrative says only 'head injury'. | Secondary source: Rain water vs nonchemical liquid; recorded rain (9523) is defensible for a puddle of rain water.</t>
  </si>
  <si>
    <t xml:space="preserve">2024076056</t>
  </si>
  <si>
    <t xml:space="preserve">2024-07-06</t>
  </si>
  <si>
    <t xml:space="preserve">9</t>
  </si>
  <si>
    <t xml:space="preserve">An employee was working on the sales floor when his right foot was run over by a forklift. The employee sustained a fractured little toe.</t>
  </si>
  <si>
    <t xml:space="preserve">542</t>
  </si>
  <si>
    <t xml:space="preserve">Toes(s), toenail(s)</t>
  </si>
  <si>
    <t xml:space="preserve">Event or exposure — unspecified</t>
  </si>
  <si>
    <t xml:space="preserve">8621</t>
  </si>
  <si>
    <t xml:space="preserve">Forklift, order picker, platform truck powered</t>
  </si>
  <si>
    <t xml:space="preserve">540, 548</t>
  </si>
  <si>
    <t xml:space="preserve">2530</t>
  </si>
  <si>
    <t xml:space="preserve">Pedestrian struck by vehicle in nonroadway area— unspecified</t>
  </si>
  <si>
    <t xml:space="preserve">2532, 2531, 655</t>
  </si>
  <si>
    <t xml:space="preserve">Forklift, order picker, platform truck—powered</t>
  </si>
  <si>
    <t xml:space="preserve">862, 860</t>
  </si>
  <si>
    <t xml:space="preserve">Potential: less specific</t>
  </si>
  <si>
    <t xml:space="preserve">Worker on foot run over by forklift: pedestrian event in nonroadway area (253); 655 is excluded for pedestrian incidents. Direction of travel not stated.</t>
  </si>
  <si>
    <t xml:space="preserve">Event/Exposure: Narrative supports a vehicle (forklift) running over a pedestrian worker; recorded 990 is less specific.</t>
  </si>
  <si>
    <t xml:space="preserve">2024087970</t>
  </si>
  <si>
    <t xml:space="preserve">2024-08-27</t>
  </si>
  <si>
    <t xml:space="preserve">An employee was moving metal repair parts from the ground to a vehicle. The metal shifted in transit and amputated the employee's left middle fingertip.</t>
  </si>
  <si>
    <t xml:space="preserve">Amputations, avulsions, enucleations — unspecified</t>
  </si>
  <si>
    <t xml:space="preserve">4421</t>
  </si>
  <si>
    <t xml:space="preserve">Finger or thumb tip(s), nail(s)</t>
  </si>
  <si>
    <t xml:space="preserve">40</t>
  </si>
  <si>
    <t xml:space="preserve">Parts and materials — unspecified</t>
  </si>
  <si>
    <t xml:space="preserve">Source, secondary source — unspecified</t>
  </si>
  <si>
    <t xml:space="preserve">442, 4429</t>
  </si>
  <si>
    <t xml:space="preserve">6619</t>
  </si>
  <si>
    <t xml:space="preserve">Injured by object handled by person— n.e.c.</t>
  </si>
  <si>
    <t xml:space="preserve">661, 663, 664, 6612, 6611</t>
  </si>
  <si>
    <t xml:space="preserve">Parts and materials— unspecified</t>
  </si>
  <si>
    <t xml:space="preserve">470, 460, 412, 499</t>
  </si>
  <si>
    <t xml:space="preserve">Fingertip amputated by shifting load of metal parts being moved by hand; event could be handled-object, shifting-object or caught-between. Source is a metal repair part (no specific code in narrative).</t>
  </si>
  <si>
    <t xml:space="preserve">Event/Exposure: Narrative supports a specific event (struck by shifting object handled by worker); recorded 990 is less specific. | Secondary source: Whether a secondary source exists (990) or not (991) cannot be determined from the narrative.</t>
  </si>
  <si>
    <t xml:space="preserve">20241211921</t>
  </si>
  <si>
    <t xml:space="preserve">2024-12-28</t>
  </si>
  <si>
    <t xml:space="preserve">On December 28, 2024, an employee was adding caustic soda beads to the oven clean-in-place (CIP) cleaning system when he was splashed by hot chemicals. The employee sustained burns to his face and ear from the caustic soda beads.</t>
  </si>
  <si>
    <t xml:space="preserve">1590</t>
  </si>
  <si>
    <t xml:space="preserve">Other or multiple types of burns — degree unspecified</t>
  </si>
  <si>
    <t xml:space="preserve">1289</t>
  </si>
  <si>
    <t xml:space="preserve">Other multiple ear(s), facial locations</t>
  </si>
  <si>
    <t xml:space="preserve">1461</t>
  </si>
  <si>
    <t xml:space="preserve">Lye, alkali metal hydroxides</t>
  </si>
  <si>
    <t xml:space="preserve">1510</t>
  </si>
  <si>
    <t xml:space="preserve">Chemical burns, corrosions— degree unspecified</t>
  </si>
  <si>
    <t xml:space="preserve">1511, 1512, 1520</t>
  </si>
  <si>
    <t xml:space="preserve">120, 121</t>
  </si>
  <si>
    <t xml:space="preserve">5553</t>
  </si>
  <si>
    <t xml:space="preserve">Exposure through intact tissue</t>
  </si>
  <si>
    <t xml:space="preserve">5559, 555, 5550, 533</t>
  </si>
  <si>
    <t xml:space="preserve">146</t>
  </si>
  <si>
    <t xml:space="preserve">Chemical burns from caustic soda beads (Source 1461 lye/alkali hydroxides); skin contact = exposure through intact tissue. Burn degree not stated. Face plus ear = multiple ear/facial.</t>
  </si>
  <si>
    <t xml:space="preserve">Nature: Hot chemical splash: Nature 1590 explicitly includes chemical and heat burns; 1510 also defensible. | Event/Exposure: Hot chemical splash: contact with hot substance (533) vs chemical exposure (555x); precedence judgement.</t>
  </si>
  <si>
    <t xml:space="preserve">2024075973</t>
  </si>
  <si>
    <t xml:space="preserve">2024-07-03</t>
  </si>
  <si>
    <t xml:space="preserve">An employee was installing articles of pyrotechnics when pyrotechnics misfired and blasted, resulting in injury to their hands.</t>
  </si>
  <si>
    <t xml:space="preserve">Traumatic injuries or exposures — unspecified</t>
  </si>
  <si>
    <t xml:space="preserve">440</t>
  </si>
  <si>
    <t xml:space="preserve">Hand(s), finger(s) — unspecified</t>
  </si>
  <si>
    <t xml:space="preserve">311</t>
  </si>
  <si>
    <t xml:space="preserve">Intentionally set explosion</t>
  </si>
  <si>
    <t xml:space="preserve">1122</t>
  </si>
  <si>
    <t xml:space="preserve">Fireworks</t>
  </si>
  <si>
    <t xml:space="preserve">1520, 124, 128</t>
  </si>
  <si>
    <t xml:space="preserve">441</t>
  </si>
  <si>
    <t xml:space="preserve">Hand(s), except finger(s)</t>
  </si>
  <si>
    <t xml:space="preserve">440, 448</t>
  </si>
  <si>
    <t xml:space="preserve">319</t>
  </si>
  <si>
    <t xml:space="preserve">Explosion— n.e.c.</t>
  </si>
  <si>
    <t xml:space="preserve">31, 310, 313, 6422</t>
  </si>
  <si>
    <t xml:space="preserve">112, 782</t>
  </si>
  <si>
    <t xml:space="preserve">N</t>
  </si>
  <si>
    <t xml:space="preserve">Pyrotechnics misfired/blasted; injury type to hands not stated (no burn or fracture described). Explosion; source = fireworks.</t>
  </si>
  <si>
    <t xml:space="preserve">Part of body: 'Hands' may or may not include fingers; 440 vs 441 depends on fuller report. | Event/Exposure: Misfired pyrotechnics: 311 (intentionally set) vs 319 depends on whether the blast was intended. | Secondary source: Whether a secondary source applies cannot be determined from the narrative.</t>
  </si>
  <si>
    <t xml:space="preserve">2024032393</t>
  </si>
  <si>
    <t xml:space="preserve">2024-03-18</t>
  </si>
  <si>
    <t xml:space="preserve">An employee was putting paper through the rolls on a machine when their gloved hand became entangled in the rollers. The employee's forearm was pulled into the machine between the belt-driven roller and a hot, steam-heated roller. The employee's right forearm sustained burn injuries that required hospitalization and surgical repair.</t>
  </si>
  <si>
    <t xml:space="preserve">1520</t>
  </si>
  <si>
    <t xml:space="preserve">Thermal burns — degree unspecified</t>
  </si>
  <si>
    <t xml:space="preserve">423</t>
  </si>
  <si>
    <t xml:space="preserve">Forearm(s)</t>
  </si>
  <si>
    <t xml:space="preserve">653</t>
  </si>
  <si>
    <t xml:space="preserve">Caught, entangled in running powered equipment — normal operation</t>
  </si>
  <si>
    <t xml:space="preserve">360</t>
  </si>
  <si>
    <t xml:space="preserve">Special process machinery — unspecified</t>
  </si>
  <si>
    <t xml:space="preserve">Thermal burns— degree unspecified</t>
  </si>
  <si>
    <t xml:space="preserve">1590, 1522, 1523</t>
  </si>
  <si>
    <t xml:space="preserve">4811</t>
  </si>
  <si>
    <t xml:space="preserve">3642</t>
  </si>
  <si>
    <t xml:space="preserve">Rollers, calenders, dryers—paper production</t>
  </si>
  <si>
    <t xml:space="preserve">364, 3640</t>
  </si>
  <si>
    <t xml:space="preserve">Hand entangled in paper-machine rollers but injury described is burns from hot steam-heated roller. Entanglement initiated the chain; contact with hot roller produced the burn; 533 precedes 653 in order of precedence; 653 is a defensible alternative. Forearm burned.</t>
  </si>
  <si>
    <t xml:space="preserve">Event/Exposure: Caught-in rollers vs contact with hot roller: order of precedence under Event R2.b (653 listed as an alternate). | Source: Narrative identifies paper-processing rollers; recorded 360 (special process machinery, unspecified) is less specific.</t>
  </si>
  <si>
    <t xml:space="preserve">2024031900</t>
  </si>
  <si>
    <t xml:space="preserve">2024-03-01</t>
  </si>
  <si>
    <t xml:space="preserve">An employee was using a clamp fork truck to load a railcar with rolls of material. The employee exited the lift to put a mat between two of the rolls. The roll held by the fork truck's clamp (60 inches, weighing 3,000-3,500 pounds) dropped from the clamp onto his arm, covering it from hand to bicep. He sustained compartment syndrome, with blood clots, in the arm.</t>
  </si>
  <si>
    <t xml:space="preserve">6439</t>
  </si>
  <si>
    <t xml:space="preserve">Struck by other falling object — n.e.c.</t>
  </si>
  <si>
    <t xml:space="preserve">2143</t>
  </si>
  <si>
    <t xml:space="preserve">Reels, rolls, spools, coils</t>
  </si>
  <si>
    <t xml:space="preserve">103</t>
  </si>
  <si>
    <t xml:space="preserve">Nonfatal 'crushing' injuries</t>
  </si>
  <si>
    <t xml:space="preserve">1232, 134, 1824, 100</t>
  </si>
  <si>
    <t xml:space="preserve">4819</t>
  </si>
  <si>
    <t xml:space="preserve">Hand(s) and arm(s)— n.e.c.</t>
  </si>
  <si>
    <t xml:space="preserve">4811, 428, 420</t>
  </si>
  <si>
    <t xml:space="preserve">6430</t>
  </si>
  <si>
    <t xml:space="preserve">Struck by falling object— unspecified</t>
  </si>
  <si>
    <t xml:space="preserve">6439, 6433, 6431</t>
  </si>
  <si>
    <t xml:space="preserve">3471, 991</t>
  </si>
  <si>
    <t xml:space="preserve">Roll dropped from clamp onto arm causing compartment syndrome with blood clots. Crush injury (103); alternatively vascular injury. Hand-to-bicep = hand and arm. Struck by falling object; source = roll, secondary = equipment it fell from.</t>
  </si>
  <si>
    <t xml:space="preserve">Nature: Compartment syndrome after crushing; manual guidance for crush/compartment syndrome allows either coding. | Part of body: Hand-to-bicep coverage; 420 arm (unspecified) vs multiple hand/arm code. | Event/Exposure: Roll dropped from the clamp is a falling object; 6439 n.e.c. is supported.</t>
  </si>
  <si>
    <t xml:space="preserve">2024087923</t>
  </si>
  <si>
    <t xml:space="preserve">An employee was cutting trees and brush on a logging site when a tree branch (4" diameter and 10-12 feet long) fell on him. He sustained a head injury, facial trauma, fractures, blood clots and bleeding on the right side of his head. He also sustained a laceration near his temporal area and his right eye was swollen and bruised. The employee was hospitalized and required surgery.</t>
  </si>
  <si>
    <t xml:space="preserve">180</t>
  </si>
  <si>
    <t xml:space="preserve">Multiple traumatic injuries and disorders — unspecified</t>
  </si>
  <si>
    <t xml:space="preserve">18</t>
  </si>
  <si>
    <t xml:space="preserve">Multiple regions of the head</t>
  </si>
  <si>
    <t xml:space="preserve">5463</t>
  </si>
  <si>
    <t xml:space="preserve">Limbs, branches unattached</t>
  </si>
  <si>
    <t xml:space="preserve">1811</t>
  </si>
  <si>
    <t xml:space="preserve">Injuries to the brain, spinal cord and severe wounds, internal injuries</t>
  </si>
  <si>
    <t xml:space="preserve">181, 180, 1812, 100</t>
  </si>
  <si>
    <t xml:space="preserve">10, 19</t>
  </si>
  <si>
    <t xml:space="preserve">Struck by other falling object— n.e.c.</t>
  </si>
  <si>
    <t xml:space="preserve">6430, 643, 6431</t>
  </si>
  <si>
    <t xml:space="preserve">5460</t>
  </si>
  <si>
    <t xml:space="preserve">Trees, logs, limbs— unspecified</t>
  </si>
  <si>
    <t xml:space="preserve">5461, 5469, 546</t>
  </si>
  <si>
    <t xml:space="preserve">5461</t>
  </si>
  <si>
    <t xml:space="preserve">Trees</t>
  </si>
  <si>
    <t xml:space="preserve">Head injury with bleeding/clots, facial trauma, fractures, laceration: spans groups 11, 12, 13 -&gt; multiple traumatic code 181x. Falling branch while cutting trees.</t>
  </si>
  <si>
    <t xml:space="preserve">Nature: Multiple injuries (brain, fractures, laceration); 180 vs 1811 turns on severity guidance. | Source: Narrative says a tree branch fell on the worker; 5463 limbs/branches is more specific and supported. | Secondary source: Tree vs branch as secondary source; both appear in the narrative.</t>
  </si>
  <si>
    <t xml:space="preserve">2024076710</t>
  </si>
  <si>
    <t xml:space="preserve">2024-07-23</t>
  </si>
  <si>
    <t xml:space="preserve">An employee was cutting an iron pipe mounted on a trailer when the pipe rolled over their leg, resulting in a right tibia fracture and compartment syndrome in their lower right leg.</t>
  </si>
  <si>
    <t xml:space="preserve">189</t>
  </si>
  <si>
    <t xml:space="preserve">Other multiple traumatic injuries — n.e.c.</t>
  </si>
  <si>
    <t xml:space="preserve">663</t>
  </si>
  <si>
    <t xml:space="preserve">Struck by rolling, sliding, or shifting objects non-running</t>
  </si>
  <si>
    <t xml:space="preserve">4223</t>
  </si>
  <si>
    <t xml:space="preserve">Pipes, tubes — metal</t>
  </si>
  <si>
    <t xml:space="preserve">1824, 103</t>
  </si>
  <si>
    <t xml:space="preserve">Struck by rolling, sliding, or shifting objects—non-running</t>
  </si>
  <si>
    <t xml:space="preserve">6611, 6612, 664</t>
  </si>
  <si>
    <t xml:space="preserve">Pipes, tubes— metal</t>
  </si>
  <si>
    <t xml:space="preserve">422</t>
  </si>
  <si>
    <t xml:space="preserve">4741</t>
  </si>
  <si>
    <t xml:space="preserve">Vehicle trailers, trailing units</t>
  </si>
  <si>
    <t xml:space="preserve">991, 990</t>
  </si>
  <si>
    <t xml:space="preserve">Pipe rolled over leg: fracture plus compartment syndrome. Struck by rolling/shifting non-running object. Pipe was on a trailer.</t>
  </si>
  <si>
    <t xml:space="preserve">Nature: Fracture plus compartment syndrome are two natures (Nature R3); a multiple-injury code is supported. | Secondary source: Trailer on which the pipe was mounted could be coded as secondary source; narrative does not require it.</t>
  </si>
  <si>
    <t xml:space="preserve">20241110706</t>
  </si>
  <si>
    <t xml:space="preserve">2024-11-17</t>
  </si>
  <si>
    <t xml:space="preserve">An employee climbed a ladder to hang a sign, lost his balance, and fell to the floor. The employee sustained back and leg injuries.</t>
  </si>
  <si>
    <t xml:space="preserve">834</t>
  </si>
  <si>
    <t xml:space="preserve">Trunk and other lower extremities</t>
  </si>
  <si>
    <t xml:space="preserve">4140</t>
  </si>
  <si>
    <t xml:space="preserve">Other fall to lower level — unspecified</t>
  </si>
  <si>
    <t xml:space="preserve">730</t>
  </si>
  <si>
    <t xml:space="preserve">Portable ladders and stairs — unspecified</t>
  </si>
  <si>
    <t xml:space="preserve">1440, 124, 148, 180</t>
  </si>
  <si>
    <t xml:space="preserve">80, 899</t>
  </si>
  <si>
    <t xml:space="preserve">Other fall to lower level— unspecified</t>
  </si>
  <si>
    <t xml:space="preserve">4141, 4142, 4143, 410</t>
  </si>
  <si>
    <t xml:space="preserve">Portable ladders and stairs— unspecified</t>
  </si>
  <si>
    <t xml:space="preserve">731, 732, 733, 734, 739</t>
  </si>
  <si>
    <t xml:space="preserve">Fall from ladder, height not stated; 'back and leg injuries' with no injury type. Source ladder type not stated.</t>
  </si>
  <si>
    <t xml:space="preserve">2024021494</t>
  </si>
  <si>
    <t xml:space="preserve">2024-02-16</t>
  </si>
  <si>
    <t xml:space="preserve">2</t>
  </si>
  <si>
    <t xml:space="preserve">Two employees were in a powered industrial vehicle. The vehicle hit a patch of dirt while traveling from a warehouse to a satellite camp and struck a light post. Both employees suffered injuries to the lower extremities. One employee needed stitches in their knee and hip surgery; the other employee needed stitches in their leg and hip surgery.</t>
  </si>
  <si>
    <t xml:space="preserve">51</t>
  </si>
  <si>
    <t xml:space="preserve">Hip joint(s)</t>
  </si>
  <si>
    <t xml:space="preserve">2723</t>
  </si>
  <si>
    <t xml:space="preserve">Collision with stationary object, nonroadway</t>
  </si>
  <si>
    <t xml:space="preserve">8620</t>
  </si>
  <si>
    <t xml:space="preserve">Industrial vehicle, material hauling and transport powered, unspecified</t>
  </si>
  <si>
    <t xml:space="preserve">6352</t>
  </si>
  <si>
    <t xml:space="preserve">Utility poles</t>
  </si>
  <si>
    <t xml:space="preserve">132, 138, 124, 182</t>
  </si>
  <si>
    <t xml:space="preserve">5861</t>
  </si>
  <si>
    <t xml:space="preserve">Hip(s) and knee(s)</t>
  </si>
  <si>
    <t xml:space="preserve">580, 589</t>
  </si>
  <si>
    <t xml:space="preserve">272, 2720, 2729</t>
  </si>
  <si>
    <t xml:space="preserve">Industrial vehicle, material hauling and transport—powered, unspecified</t>
  </si>
  <si>
    <t xml:space="preserve">862, 860, 86</t>
  </si>
  <si>
    <t xml:space="preserve">6353</t>
  </si>
  <si>
    <t xml:space="preserve">Road signs, poles— except utility</t>
  </si>
  <si>
    <t xml:space="preserve">6359, 6350, 224</t>
  </si>
  <si>
    <t xml:space="preserve">Industrial vehicle hit dirt patch and struck a light post. Injuries: stitches (laceration) plus hip surgery (type not stated) - nature cannot be pinned down; two injured workers described in one record.</t>
  </si>
  <si>
    <t xml:space="preserve">Part of body: Narrative describes two injured workers with hip and knee injuries; the recorded part covers only one injury. Cannot tell which worker the record describes. | Secondary source: Manual 6352 includes lamppost/area-lighting poles; 'light post' supports 6352.</t>
  </si>
  <si>
    <t xml:space="preserve">20241110374</t>
  </si>
  <si>
    <t xml:space="preserve">2024-11-06</t>
  </si>
  <si>
    <t xml:space="preserve">An employee was moving pallets into the freezer when they lost their footing and fell on their back. The employee sustained an injury to his upper back/lower neck area and was diagnosed with central cord syndrome.</t>
  </si>
  <si>
    <t xml:space="preserve">1121</t>
  </si>
  <si>
    <t xml:space="preserve">Paralysis, paraplegia, quadriplegia</t>
  </si>
  <si>
    <t xml:space="preserve">21</t>
  </si>
  <si>
    <t xml:space="preserve">Exterior and musculoskeletal structures of the neck</t>
  </si>
  <si>
    <t xml:space="preserve">4310</t>
  </si>
  <si>
    <t xml:space="preserve">Fall on same level — unspecified</t>
  </si>
  <si>
    <t xml:space="preserve">1129</t>
  </si>
  <si>
    <t xml:space="preserve">Spinal cord injuries, paralysis— n.e.c.</t>
  </si>
  <si>
    <t xml:space="preserve">1120, 1121</t>
  </si>
  <si>
    <t xml:space="preserve">821</t>
  </si>
  <si>
    <t xml:space="preserve">Neck and back</t>
  </si>
  <si>
    <t xml:space="preserve">21, 22, 321, 881</t>
  </si>
  <si>
    <t xml:space="preserve">4319, 431, 4310</t>
  </si>
  <si>
    <t xml:space="preserve">4153, 217</t>
  </si>
  <si>
    <t xml:space="preserve">Central cord syndrome = spinal cord injury (n.e.c.). Fall on same level after losing footing; slip vs loss of balance not clear; cause of slip not stated.</t>
  </si>
  <si>
    <t xml:space="preserve">Nature: Central cord syndrome is an incomplete cord injury; 1121 vs 1129 depends on how 'paralysis' is read. | Part of body: Upper back/lower neck: 21 neck structures vs neck-and-back combination code. | Event/Exposure: 'Lost footing and fell': 4310 (unspecified) vs 4312 (slip/trip).</t>
  </si>
  <si>
    <t xml:space="preserve">2024010565</t>
  </si>
  <si>
    <t xml:space="preserve">2024-01-18</t>
  </si>
  <si>
    <t xml:space="preserve">An employee was using an industrial table saw when it amputated his thumb and caused a severe laceration to his palm.</t>
  </si>
  <si>
    <t xml:space="preserve">4422</t>
  </si>
  <si>
    <t xml:space="preserve">Thumb(s)</t>
  </si>
  <si>
    <t xml:space="preserve">3553</t>
  </si>
  <si>
    <t xml:space="preserve">Stationary saws — table</t>
  </si>
  <si>
    <t xml:space="preserve">189, 1221, 1821</t>
  </si>
  <si>
    <t xml:space="preserve">448</t>
  </si>
  <si>
    <t xml:space="preserve">Hand(s) and finger(s)</t>
  </si>
  <si>
    <t xml:space="preserve">4422, 441, 4428</t>
  </si>
  <si>
    <t xml:space="preserve">650</t>
  </si>
  <si>
    <t xml:space="preserve">Struck by running powered equipment— unspecified</t>
  </si>
  <si>
    <t xml:space="preserve">659</t>
  </si>
  <si>
    <t xml:space="preserve">Stationary saws— table</t>
  </si>
  <si>
    <t xml:space="preserve">355, 3550</t>
  </si>
  <si>
    <t xml:space="preserve">Thumb amputation plus palm laceration from running table saw; amputation is the more severe injury. Thumb + palm = hand and finger.</t>
  </si>
  <si>
    <t xml:space="preserve">Nature: Amputated thumb with a table saw implies bone loss; 1221 supported. | Part of body: Thumb amputation plus palm laceration: single thumb code vs multiple hand/finger code (Part R4). | Event/Exposure: Table-saw blade cutting the thumb is contact with a running blade (650/659), not being caught/entangled (653).</t>
  </si>
  <si>
    <t xml:space="preserve">2024032529</t>
  </si>
  <si>
    <t xml:space="preserve">2024-03-21</t>
  </si>
  <si>
    <t xml:space="preserve">An employee was hanging a sign on a security post at ground level in a parking lot. They turned and tripped over a curb and fell to the ground, resulting in a fractured left wrist and a laceration to the left side of the forehead.</t>
  </si>
  <si>
    <t xml:space="preserve">1823</t>
  </si>
  <si>
    <t xml:space="preserve">Fractures and surface, flesh wounds</t>
  </si>
  <si>
    <t xml:space="preserve">813</t>
  </si>
  <si>
    <t xml:space="preserve">Head and extremities</t>
  </si>
  <si>
    <t xml:space="preserve">6612</t>
  </si>
  <si>
    <t xml:space="preserve">Curbs</t>
  </si>
  <si>
    <t xml:space="preserve">124, 132</t>
  </si>
  <si>
    <t xml:space="preserve">899, 80</t>
  </si>
  <si>
    <t xml:space="preserve">42</t>
  </si>
  <si>
    <t xml:space="preserve">Slip, trip, stumble while stepping between levels</t>
  </si>
  <si>
    <t xml:space="preserve">4312, 431, 4311</t>
  </si>
  <si>
    <t xml:space="preserve">6623, 662, 6624</t>
  </si>
  <si>
    <t xml:space="preserve">991, 663</t>
  </si>
  <si>
    <t xml:space="preserve">Tripped over a curb and fell: Event 42 includes 'tripping or falling over curbs'. Fracture plus laceration -&gt; 1823. Wrist + forehead = head and extremities.</t>
  </si>
  <si>
    <t xml:space="preserve">Event/Exposure: Manual Event 42 includes 'tripping or falling over curbs'; narrative describes a fall, supporting 4312. Both defensible. | Source: Source/secondary-source order follows the recorded event: surface fallen on vs curb tripped over. | Secondary source: As above: curb as secondary source is consistent with the recorded event 4312 guidance.</t>
  </si>
  <si>
    <t xml:space="preserve">2024054261</t>
  </si>
  <si>
    <t xml:space="preserve">2024-05-14</t>
  </si>
  <si>
    <t xml:space="preserve">An employee was operating a mower when the blade struck their foot.</t>
  </si>
  <si>
    <t xml:space="preserve">540</t>
  </si>
  <si>
    <t xml:space="preserve">Foot (feet), toe(s) — unspecified</t>
  </si>
  <si>
    <t xml:space="preserve">Struck by running powered equipment — n.e.c.</t>
  </si>
  <si>
    <t xml:space="preserve">3120</t>
  </si>
  <si>
    <t xml:space="preserve">Mowing and brush removal machinery — unspecified</t>
  </si>
  <si>
    <t xml:space="preserve">132, 1220, 1221, 124</t>
  </si>
  <si>
    <t xml:space="preserve">Foot (feet), toe(s)— unspecified</t>
  </si>
  <si>
    <t xml:space="preserve">541, 542</t>
  </si>
  <si>
    <t xml:space="preserve">659, 653</t>
  </si>
  <si>
    <t xml:space="preserve">Mowing and brush removal machinery— unspecified</t>
  </si>
  <si>
    <t xml:space="preserve">3122, 3123, 312</t>
  </si>
  <si>
    <t xml:space="preserve">Mower blade struck foot; no injury type stated. Struck by running powered equipment; mower type not stated.</t>
  </si>
  <si>
    <t xml:space="preserve">Event/Exposure: Blade of a mower is an attached part of running equipment; 659 supported.</t>
  </si>
  <si>
    <t xml:space="preserve">2024054718</t>
  </si>
  <si>
    <t xml:space="preserve">2024-05-29</t>
  </si>
  <si>
    <t xml:space="preserve">An employee was operating a forklift when it struck a storage rack. The employee sustained a partial thumb amputation.</t>
  </si>
  <si>
    <t xml:space="preserve">2212</t>
  </si>
  <si>
    <t xml:space="preserve">Shelves, shelving, racks</t>
  </si>
  <si>
    <t xml:space="preserve">1221, 1222</t>
  </si>
  <si>
    <t xml:space="preserve">442</t>
  </si>
  <si>
    <t xml:space="preserve">272, 664, 2720, 654</t>
  </si>
  <si>
    <t xml:space="preserve">862</t>
  </si>
  <si>
    <t xml:space="preserve">221</t>
  </si>
  <si>
    <t xml:space="preserve">Forklift struck a rack and thumb partially amputated; mechanism for the thumb injury not described (caught between? struck by?). Vehicle collision coded; limited by narrative.</t>
  </si>
  <si>
    <t xml:space="preserve">20241211261</t>
  </si>
  <si>
    <t xml:space="preserve">2024-12-05</t>
  </si>
  <si>
    <t xml:space="preserve">An employee was descending exterior stairs when they slipped on ice and fell to the ground. The employee sustained a sprained lower back.</t>
  </si>
  <si>
    <t xml:space="preserve">1442</t>
  </si>
  <si>
    <t xml:space="preserve">Sprains, strains, minor tears</t>
  </si>
  <si>
    <t xml:space="preserve">322</t>
  </si>
  <si>
    <t xml:space="preserve">Back — lumbar region</t>
  </si>
  <si>
    <t xml:space="preserve">6611</t>
  </si>
  <si>
    <t xml:space="preserve">Stairs, steps</t>
  </si>
  <si>
    <t xml:space="preserve">9521</t>
  </si>
  <si>
    <t xml:space="preserve">Ice, sleet, snow, hail</t>
  </si>
  <si>
    <t xml:space="preserve">1442, 1441</t>
  </si>
  <si>
    <t xml:space="preserve">Back— lumbar region</t>
  </si>
  <si>
    <t xml:space="preserve">32, 320, 328</t>
  </si>
  <si>
    <t xml:space="preserve">42, 4312, 4141, 4142</t>
  </si>
  <si>
    <t xml:space="preserve">661</t>
  </si>
  <si>
    <t xml:space="preserve">4153, 952, 9520</t>
  </si>
  <si>
    <t xml:space="preserve">Slipped on ice descending stairs and fell to the ground. Fall to lower level (stairs): Source = stairs; Secondary = ice. Sprain severity not stated.</t>
  </si>
  <si>
    <t xml:space="preserve">Nature: 'Sprained lower back' fits 1442 sprain/strain.</t>
  </si>
  <si>
    <t xml:space="preserve">2024087345</t>
  </si>
  <si>
    <t xml:space="preserve">2024-08-10</t>
  </si>
  <si>
    <t xml:space="preserve">1</t>
  </si>
  <si>
    <t xml:space="preserve">An employee was working with a client who punched the employee in the head, causing a brain injury.</t>
  </si>
  <si>
    <t xml:space="preserve">1110</t>
  </si>
  <si>
    <t xml:space="preserve">Intracranial injuries — unspecified</t>
  </si>
  <si>
    <t xml:space="preserve">1142</t>
  </si>
  <si>
    <t xml:space="preserve">Hitting, kicking, beating by other person while providing medical or custodial care</t>
  </si>
  <si>
    <t xml:space="preserve">5732</t>
  </si>
  <si>
    <t xml:space="preserve">Patient</t>
  </si>
  <si>
    <t xml:space="preserve">Intracranial injuries— unspecified</t>
  </si>
  <si>
    <t xml:space="preserve">110, 111, 1112, 100</t>
  </si>
  <si>
    <t xml:space="preserve">10, 11, 110</t>
  </si>
  <si>
    <t xml:space="preserve">1140</t>
  </si>
  <si>
    <t xml:space="preserve">Hitting, kicking, beating by other person— unspecified</t>
  </si>
  <si>
    <t xml:space="preserve">1142, 114, 1149</t>
  </si>
  <si>
    <t xml:space="preserve">574</t>
  </si>
  <si>
    <t xml:space="preserve">Client or customer</t>
  </si>
  <si>
    <t xml:space="preserve">573, 5732</t>
  </si>
  <si>
    <t xml:space="preserve">Punched in the head by a client; brain injury unspecified. Whether the worker was providing care not stated.</t>
  </si>
  <si>
    <t xml:space="preserve">Event/Exposure: 1142 (while providing care) vs 1140 depends on whether the worker was providing care to the client. | Source: Narrative says 'client'; patient (5732) vs client (574) depends on service setting.</t>
  </si>
  <si>
    <t xml:space="preserve">2024010166</t>
  </si>
  <si>
    <t xml:space="preserve">2024-01-08</t>
  </si>
  <si>
    <t xml:space="preserve">The injured employee fell from a 10-foot step ladder that was being shaken by another employee. The employee landed on the concrete floor and suffered shoulder and head injuries.</t>
  </si>
  <si>
    <t xml:space="preserve">119</t>
  </si>
  <si>
    <t xml:space="preserve">Intentional violence by other person — n.e.c.</t>
  </si>
  <si>
    <t xml:space="preserve">5720</t>
  </si>
  <si>
    <t xml:space="preserve">Co-worker or work associate of injured or ill worker — unspecified</t>
  </si>
  <si>
    <t xml:space="preserve">733</t>
  </si>
  <si>
    <t xml:space="preserve">Step ladders</t>
  </si>
  <si>
    <t xml:space="preserve">1440, 124, 110</t>
  </si>
  <si>
    <t xml:space="preserve">81, 882</t>
  </si>
  <si>
    <t xml:space="preserve">4142</t>
  </si>
  <si>
    <t xml:space="preserve">Other fall to lower level— 6 to 30 feet</t>
  </si>
  <si>
    <t xml:space="preserve">4122, 4140, 414</t>
  </si>
  <si>
    <t xml:space="preserve">73, 730</t>
  </si>
  <si>
    <t xml:space="preserve">5721</t>
  </si>
  <si>
    <t xml:space="preserve">Co-worker, supervisor— current</t>
  </si>
  <si>
    <t xml:space="preserve">10-ft fall from step ladder shaken by a co-worker; 'shoulder and head injuries' gives no injury type. Fall 6-30 ft; co-worker is the item that caused the fall.</t>
  </si>
  <si>
    <t xml:space="preserve">Event/Exposure: Narrative does not state the ladder was shaken intentionally; Event 119 requires intent that the narrative does not establish. | Source: Source follows the recorded event (assailant); consistent with that choice. | Secondary source: Ladder as secondary source follows the recorded event.</t>
  </si>
  <si>
    <t xml:space="preserve">2024076373</t>
  </si>
  <si>
    <t xml:space="preserve">2024-07-15</t>
  </si>
  <si>
    <t xml:space="preserve">A panel was being lifted when an attached roller (approximately 20 pounds) slipped and fell about 2 feet onto the hard hat of an employee working below. The roller also struck the employee's shoulder and back. The employee was hospitalized and suffered a contusion to the shoulder/back.</t>
  </si>
  <si>
    <t xml:space="preserve">134</t>
  </si>
  <si>
    <t xml:space="preserve">Bruises, contusions</t>
  </si>
  <si>
    <t xml:space="preserve">833</t>
  </si>
  <si>
    <t xml:space="preserve">Trunk and other upper extremities</t>
  </si>
  <si>
    <t xml:space="preserve">Struck by falling object — unspecified</t>
  </si>
  <si>
    <t xml:space="preserve">4644</t>
  </si>
  <si>
    <t xml:space="preserve">Rollers, cylinders</t>
  </si>
  <si>
    <t xml:space="preserve">3430</t>
  </si>
  <si>
    <t xml:space="preserve">Elevators, hoists, lifts — unspecified</t>
  </si>
  <si>
    <t xml:space="preserve">831</t>
  </si>
  <si>
    <t xml:space="preserve">Back and shoulder</t>
  </si>
  <si>
    <t xml:space="preserve">881</t>
  </si>
  <si>
    <t xml:space="preserve">6439, 6433</t>
  </si>
  <si>
    <t xml:space="preserve">464, 4640</t>
  </si>
  <si>
    <t xml:space="preserve">4230</t>
  </si>
  <si>
    <t xml:space="preserve">Structural panels and sheets— unspecified</t>
  </si>
  <si>
    <t xml:space="preserve">Roller attached to a lifted panel fell about 2 ft onto head and struck shoulder/back; contusion. Source part (roller) and panel are not specifically named equipment.</t>
  </si>
  <si>
    <t xml:space="preserve">Part of body: Combination-code selection for shoulder, back and hard-hat strike; depends on the full injury list. | Secondary source: Lifting equipment vs panel as secondary source; narrative supports both.</t>
  </si>
  <si>
    <t xml:space="preserve">20241110365</t>
  </si>
  <si>
    <t xml:space="preserve">On November 6, 2024, an employee was dipping parts into a hexavalent chromium bath using a crane. The employee touched their face and began to experience facial swelling, resulting in hospitalization.</t>
  </si>
  <si>
    <t xml:space="preserve">102</t>
  </si>
  <si>
    <t xml:space="preserve">Soreness, swelling, inflammation</t>
  </si>
  <si>
    <t xml:space="preserve">120</t>
  </si>
  <si>
    <t xml:space="preserve">Ears and facial region — unspecified</t>
  </si>
  <si>
    <t xml:space="preserve">1429</t>
  </si>
  <si>
    <t xml:space="preserve">Toxic metallic substances — n.e.c.</t>
  </si>
  <si>
    <t xml:space="preserve">160, 1510, 102</t>
  </si>
  <si>
    <t xml:space="preserve">Ears and facial region— unspecified</t>
  </si>
  <si>
    <t xml:space="preserve">126, 125</t>
  </si>
  <si>
    <t xml:space="preserve">5559, 555, 5550</t>
  </si>
  <si>
    <t xml:space="preserve">Toxic metallic substances— n.e.c.</t>
  </si>
  <si>
    <t xml:space="preserve">142, 1420</t>
  </si>
  <si>
    <t xml:space="preserve">Face contact with hexavalent chromium bath followed by facial swelling; skin reaction. Injury type (burn vs dermatitis) not stated. Chromium is listed under 1429.</t>
  </si>
  <si>
    <t xml:space="preserve">Nature: Facial swelling after chromium exposure: 102 (swelling, literal) vs 167 (irritant reaction) is a rule-reading choice.</t>
  </si>
  <si>
    <t xml:space="preserve">2024098301</t>
  </si>
  <si>
    <t xml:space="preserve">2024-09-06</t>
  </si>
  <si>
    <t xml:space="preserve">An employee was installing rebar when they sustained an injury to their eye.</t>
  </si>
  <si>
    <t xml:space="preserve">122</t>
  </si>
  <si>
    <t xml:space="preserve">Eye(s)</t>
  </si>
  <si>
    <t xml:space="preserve">4216</t>
  </si>
  <si>
    <t xml:space="preserve">Rods, reinforcing bar (rebar) metal</t>
  </si>
  <si>
    <t xml:space="preserve">1311, 132, 134</t>
  </si>
  <si>
    <t xml:space="preserve">6422, 642, 6652</t>
  </si>
  <si>
    <t xml:space="preserve">421</t>
  </si>
  <si>
    <t xml:space="preserve">Eye injury while installing rebar; no mechanism or object described (flying particle? contact?). Event and source cannot be assigned.</t>
  </si>
  <si>
    <t xml:space="preserve">Secondary source: Narrative does not identify what struck the eye; rebar as secondary source cannot be confirmed.</t>
  </si>
  <si>
    <t xml:space="preserve">2024109442</t>
  </si>
  <si>
    <t xml:space="preserve">2024-10-10</t>
  </si>
  <si>
    <t xml:space="preserve">On October 10, 2024, an employee was deep cleaning operating rooms and were exposed to disinfection cleaner, resulting in an acute environmental asthma exacerbation. The employee was hospitalized.</t>
  </si>
  <si>
    <t xml:space="preserve">163</t>
  </si>
  <si>
    <t xml:space="preserve">Poison, toxic, or allergenic effects — other respiratory</t>
  </si>
  <si>
    <t xml:space="preserve">BODY SYSTEMS</t>
  </si>
  <si>
    <t xml:space="preserve">5531</t>
  </si>
  <si>
    <t xml:space="preserve">Inhalation of harmful substance — single episode or single shift</t>
  </si>
  <si>
    <t xml:space="preserve">1623</t>
  </si>
  <si>
    <t xml:space="preserve">Disinfectants, detergents, soap products</t>
  </si>
  <si>
    <t xml:space="preserve">Poison, toxic, or allergenic effects— other respiratory</t>
  </si>
  <si>
    <t xml:space="preserve">2433, 2430, 2431</t>
  </si>
  <si>
    <t xml:space="preserve">3128, 312, 3120</t>
  </si>
  <si>
    <t xml:space="preserve">Inhalation of harmful substance— single episode or single shift</t>
  </si>
  <si>
    <t xml:space="preserve">5530, 553, 5532</t>
  </si>
  <si>
    <t xml:space="preserve">162, 1620</t>
  </si>
  <si>
    <t xml:space="preserve">5610</t>
  </si>
  <si>
    <t xml:space="preserve">Bodily conditions of injured, ill worker— unspecified</t>
  </si>
  <si>
    <t xml:space="preserve">991, 5619</t>
  </si>
  <si>
    <t xml:space="preserve">Acute asthma exacerbation after single-episode exposure to disinfectant cleaner while cleaning operating rooms. Pre-existing asthma implied by 'exacerbation' (Nature Rule 4b: secondary source 561*).</t>
  </si>
  <si>
    <t xml:space="preserve">Secondary source: Bodily condition (asthma) as secondary source is optional under guidance.</t>
  </si>
  <si>
    <t xml:space="preserve">2024076773</t>
  </si>
  <si>
    <t xml:space="preserve">2024-07-25</t>
  </si>
  <si>
    <t xml:space="preserve">An employee was threading film through a machine. The film got caught on the casting drum, pulling the film and employee's arm between a roller and the casting drum. The employee sustained a friction burn.</t>
  </si>
  <si>
    <t xml:space="preserve">1591</t>
  </si>
  <si>
    <t xml:space="preserve">Other or multiple types of burns — first degree</t>
  </si>
  <si>
    <t xml:space="preserve">Struck by running powered equipment — unspecified</t>
  </si>
  <si>
    <t xml:space="preserve">30</t>
  </si>
  <si>
    <t xml:space="preserve">Machinery — unspecified</t>
  </si>
  <si>
    <t xml:space="preserve">133</t>
  </si>
  <si>
    <t xml:space="preserve">Abrasions</t>
  </si>
  <si>
    <t xml:space="preserve">1520, 1590, 159</t>
  </si>
  <si>
    <t xml:space="preserve">423, 421, 428</t>
  </si>
  <si>
    <t xml:space="preserve">Caught, entangled in running powered equipment— normal operation</t>
  </si>
  <si>
    <t xml:space="preserve">662, 654</t>
  </si>
  <si>
    <t xml:space="preserve">3511</t>
  </si>
  <si>
    <t xml:space="preserve">Casting machinery</t>
  </si>
  <si>
    <t xml:space="preserve">351, 352, 3414, 3640</t>
  </si>
  <si>
    <t xml:space="preserve">Arm pulled between roller and casting drum; injury was a friction burn. Nature 133 includes friction burns. Entangled in running equipment during normal operation (threading film).</t>
  </si>
  <si>
    <t xml:space="preserve">Nature: Manual lists friction burns under both 133 and 1591; both defensible. | Event/Exposure: Arm pulled between roller and drum is caught/compressed in running equipment (653); recorded 650 is less specific. | Source: Narrative identifies a casting drum/film machine; recorded 30 is less specific. | Secondary source: Whether a secondary source applies cannot be determined.</t>
  </si>
  <si>
    <t xml:space="preserve">2024021430</t>
  </si>
  <si>
    <t xml:space="preserve">2024-02-14</t>
  </si>
  <si>
    <t xml:space="preserve">An employee was cutting a service line from a transformer pole to a residence's pole. He was working from a ladder secured to the pole. When the wire was cut, the release of tension caused the pole to split at ground level. The employee was strapped to the pole and fell approximately 20-25 feet to the ground. The employee suffered a brain bleed, concussion, and fractures to an orbital bone and wrist.</t>
  </si>
  <si>
    <t xml:space="preserve">1112</t>
  </si>
  <si>
    <t xml:space="preserve">Cerebral and other intracranial hemorrhages without skull fracture</t>
  </si>
  <si>
    <t xml:space="preserve">4112</t>
  </si>
  <si>
    <t xml:space="preserve">Fall to lower level from collapsing structure or equipment — 6 to 30 feet</t>
  </si>
  <si>
    <t xml:space="preserve">660</t>
  </si>
  <si>
    <t xml:space="preserve">Ground, travel, and support surfaces — unspecified</t>
  </si>
  <si>
    <t xml:space="preserve">181, 180, 1111, 1112</t>
  </si>
  <si>
    <t xml:space="preserve">Fall to lower level from collapsing structure or equipment— 6 to 30 feet</t>
  </si>
  <si>
    <t xml:space="preserve">634, 639, 4122, 4142</t>
  </si>
  <si>
    <t xml:space="preserve">635</t>
  </si>
  <si>
    <t xml:space="preserve">663, 731</t>
  </si>
  <si>
    <t xml:space="preserve">Fall of about 20-25 ft when a utility pole split; brain bleed/concussion plus fractures -&gt; multiple traumatic code. Collapsing equipment/structure fall 6-30 ft.</t>
  </si>
  <si>
    <t xml:space="preserve">Nature: Brain bleed, concussion and fractures: multiple natures; 1112 vs 1811 is a precedence/severity choice. | Part of body: Head and wrist injuries: single brain code vs multi-part code (Part R4). | Secondary source: Ground as secondary source for the 20-25 ft fall is defensible.</t>
  </si>
  <si>
    <t xml:space="preserve">2024021550</t>
  </si>
  <si>
    <t xml:space="preserve">2024-02-19</t>
  </si>
  <si>
    <t xml:space="preserve">A fire involving a vacuum pump in the hospital basement caused an employee to suffer smoke inhalation.</t>
  </si>
  <si>
    <t xml:space="preserve">161</t>
  </si>
  <si>
    <t xml:space="preserve">Poisoning, poisoning-related asphyxia</t>
  </si>
  <si>
    <t xml:space="preserve">320</t>
  </si>
  <si>
    <t xml:space="preserve">Fire — unspecified</t>
  </si>
  <si>
    <t xml:space="preserve">345</t>
  </si>
  <si>
    <t xml:space="preserve">Pumps — except oil well</t>
  </si>
  <si>
    <t xml:space="preserve">160, 163, 185</t>
  </si>
  <si>
    <t xml:space="preserve">3128, 312</t>
  </si>
  <si>
    <t xml:space="preserve">324</t>
  </si>
  <si>
    <t xml:space="preserve">Vehicle or machinery fire</t>
  </si>
  <si>
    <t xml:space="preserve">323, 320, 325</t>
  </si>
  <si>
    <t xml:space="preserve">Pumps— except oil well</t>
  </si>
  <si>
    <t xml:space="preserve">Smoke inhalation from fire involving a vacuum pump in a basement: Nature 161 covers smoke inhalation with no further information; fire involving machinery.</t>
  </si>
  <si>
    <t xml:space="preserve">Event/Exposure: Fire involving a pump suggests machinery fire (324); recorded 320 is less specific.</t>
  </si>
  <si>
    <t xml:space="preserve">2024010861</t>
  </si>
  <si>
    <t xml:space="preserve">2024-01-28</t>
  </si>
  <si>
    <t xml:space="preserve">An employee was working at a bailer. She bent down to pick something up. As she straightened, her head struck the bailer door. She suffered a pinched nerve and a bulging disk in the lower back and was hospitalized.</t>
  </si>
  <si>
    <t xml:space="preserve">Disc disorders, herniated disc</t>
  </si>
  <si>
    <t xml:space="preserve">6653</t>
  </si>
  <si>
    <t xml:space="preserve">Struck against stationary object while rising, lowering</t>
  </si>
  <si>
    <t xml:space="preserve">3634</t>
  </si>
  <si>
    <t xml:space="preserve">Banding, baling, strapping machinery</t>
  </si>
  <si>
    <t xml:space="preserve">146, 148, 2720</t>
  </si>
  <si>
    <t xml:space="preserve">665, 6650, 733</t>
  </si>
  <si>
    <t xml:space="preserve">3341</t>
  </si>
  <si>
    <t xml:space="preserve">Trash compactors, shredders</t>
  </si>
  <si>
    <t xml:space="preserve">334, 3340</t>
  </si>
  <si>
    <t xml:space="preserve">Head struck baler door while straightening up; back injury described as pinched nerve plus bulging disc (2723 includes bulging disc and pinched nerve from herniated disc).</t>
  </si>
  <si>
    <t xml:space="preserve">Source: Baler vs compactor: narrative says 'bailer' without context; both coded machines are defensible.</t>
  </si>
  <si>
    <t xml:space="preserve">2024109924</t>
  </si>
  <si>
    <t xml:space="preserve">2024-10-24</t>
  </si>
  <si>
    <t xml:space="preserve">A maintenance technician was checking the tire pressure on a debarking drum tire. They then initiated the process of adding air into the tire to the specified pounds per square inch. Within seconds, the side wall of the tire ruptured and the maintenance technician sustained broken ribs and a punctured lung.</t>
  </si>
  <si>
    <t xml:space="preserve">1232</t>
  </si>
  <si>
    <t xml:space="preserve">Closed trauma involving internal organs, major blood vessels</t>
  </si>
  <si>
    <t xml:space="preserve">318</t>
  </si>
  <si>
    <t xml:space="preserve">Multiple internal chest locations</t>
  </si>
  <si>
    <t xml:space="preserve">346</t>
  </si>
  <si>
    <t xml:space="preserve">Air compressors</t>
  </si>
  <si>
    <t xml:space="preserve">124, 1231, 1238</t>
  </si>
  <si>
    <t xml:space="preserve">310</t>
  </si>
  <si>
    <t xml:space="preserve">Chest— unspecified</t>
  </si>
  <si>
    <t xml:space="preserve">318, 3112, 3123, 31</t>
  </si>
  <si>
    <t xml:space="preserve">323, 122</t>
  </si>
  <si>
    <t xml:space="preserve">Tire side wall ruptured under inflation (pressure vessel/tire explosion). Rib fractures with punctured lung = 1232 (includes rib fractures with internal chest injuries).</t>
  </si>
  <si>
    <t xml:space="preserve">Part of body: Broken ribs and punctured lung are internal chest locations (318). | Secondary source: Narrative says air was being added to the tire; air compressor (346) is supported.</t>
  </si>
  <si>
    <t xml:space="preserve">2024064961</t>
  </si>
  <si>
    <t xml:space="preserve">2024-06-05</t>
  </si>
  <si>
    <t xml:space="preserve">An employee was cleaning the floor when they slipped and fell to the floor, dislocating their right shoulder.</t>
  </si>
  <si>
    <t xml:space="preserve">141</t>
  </si>
  <si>
    <t xml:space="preserve">Dislocations</t>
  </si>
  <si>
    <t xml:space="preserve">41</t>
  </si>
  <si>
    <t xml:space="preserve">Shoulder(s), clavicle(s), scapula(e)</t>
  </si>
  <si>
    <t xml:space="preserve">4319, 431</t>
  </si>
  <si>
    <t xml:space="preserve">4152, 162</t>
  </si>
  <si>
    <t xml:space="preserve">Slip and fall on floor while cleaning; dislocated right shoulder.</t>
  </si>
  <si>
    <t xml:space="preserve">2024076442</t>
  </si>
  <si>
    <t xml:space="preserve">2024-07-16</t>
  </si>
  <si>
    <t xml:space="preserve">An employee was stung by multiple wasps/bees after delivering a package to a home. The employee went into anaphylactic shock.</t>
  </si>
  <si>
    <t xml:space="preserve">162</t>
  </si>
  <si>
    <t xml:space="preserve">Anaphylactic shock, anaphylaxis</t>
  </si>
  <si>
    <t xml:space="preserve">6211</t>
  </si>
  <si>
    <t xml:space="preserve">Bite or sting — insects, "bugs"</t>
  </si>
  <si>
    <t xml:space="preserve">5131</t>
  </si>
  <si>
    <t xml:space="preserve">Bees, hornets, wasps</t>
  </si>
  <si>
    <t xml:space="preserve">Bite or sting— insects, "bugs"</t>
  </si>
  <si>
    <t xml:space="preserve">621, 6210</t>
  </si>
  <si>
    <t xml:space="preserve">513</t>
  </si>
  <si>
    <t xml:space="preserve">H</t>
  </si>
  <si>
    <t xml:space="preserve">Multiple wasp/bee stings with anaphylaxis: Nature 162; systemic reaction -&gt; Part 6 (body systems).</t>
  </si>
  <si>
    <t xml:space="preserve">2024043396</t>
  </si>
  <si>
    <t xml:space="preserve">2024-04-18</t>
  </si>
  <si>
    <t xml:space="preserve">On April 18, 2024, an employee was standing on equipment to clear a machine jam when his foot slipped. He suffered a severe laceration and was hospitalized. A safety railing was in place at the time of the incident.</t>
  </si>
  <si>
    <t xml:space="preserve">132</t>
  </si>
  <si>
    <t xml:space="preserve">Cuts, lacerations, punctures without injury to internal structures</t>
  </si>
  <si>
    <t xml:space="preserve">Part of body — unspecified</t>
  </si>
  <si>
    <t xml:space="preserve">123, 1220</t>
  </si>
  <si>
    <t xml:space="preserve">652, 4140, 6652</t>
  </si>
  <si>
    <t xml:space="preserve">P,E,S</t>
  </si>
  <si>
    <t xml:space="preserve">Foot slipped while standing on equipment clearing a jam; 'severe laceration' with no body part, no statement of what caused the cut (machine contact? fall?). Event, source and part cannot be determined.</t>
  </si>
  <si>
    <t xml:space="preserve">Source: Blind coder flagged this field inconclusive; narrative does not give enough detail.</t>
  </si>
  <si>
    <t xml:space="preserve">2024087416</t>
  </si>
  <si>
    <t xml:space="preserve">2024-08-13</t>
  </si>
  <si>
    <t xml:space="preserve">An employee was pushing the door of a trailer open when a clothes dryer that was against the door fell out of the trailer. The dryer struck the employee on his hard hat and he was hospitalized and required surgery. He had neck pain, slurred speech, and sensitivity to light.</t>
  </si>
  <si>
    <t xml:space="preserve">3332</t>
  </si>
  <si>
    <t xml:space="preserve">Clothes washers, dryers</t>
  </si>
  <si>
    <t xml:space="preserve">110, 1110, 1113</t>
  </si>
  <si>
    <t xml:space="preserve">811</t>
  </si>
  <si>
    <t xml:space="preserve">Head and neck</t>
  </si>
  <si>
    <t xml:space="preserve">10, 81, 821</t>
  </si>
  <si>
    <t xml:space="preserve">6432, 6439</t>
  </si>
  <si>
    <t xml:space="preserve">333</t>
  </si>
  <si>
    <t xml:space="preserve">Dryer fell out of trailer onto head; neck pain, slurred speech, light sensitivity but no diagnosis. Falling object; source = dryer, secondary = trailer.</t>
  </si>
  <si>
    <t xml:space="preserve">Nature: Manual 1110 includes unspecified head injury with visual disturbance (light sensitivity) or slurred speech; supported. | Part of body: Brain (111) follows from the 1110 nature. | Event/Exposure: Dryer falling out of a trailer is a falling object; 6439 supported.</t>
  </si>
  <si>
    <t xml:space="preserve">20241110902</t>
  </si>
  <si>
    <t xml:space="preserve">2024-11-22</t>
  </si>
  <si>
    <t xml:space="preserve">An employee was on a ladder while using a pipe wrench to unscrew a water line. He lost his grip and fell approximately 4 feet from the ladder to the ground, resulting in scratches to the face and compressed discs that required surgery.</t>
  </si>
  <si>
    <t xml:space="preserve">Exterior and musculoskeletal structures of the back — unspecified</t>
  </si>
  <si>
    <t xml:space="preserve">4141</t>
  </si>
  <si>
    <t xml:space="preserve">Other fall to lower level — less than 6 feet</t>
  </si>
  <si>
    <t xml:space="preserve">1831, 124, 272</t>
  </si>
  <si>
    <t xml:space="preserve">812</t>
  </si>
  <si>
    <t xml:space="preserve">Head and trunk</t>
  </si>
  <si>
    <t xml:space="preserve">Other fall to lower level— less than 6 feet</t>
  </si>
  <si>
    <t xml:space="preserve">4140, 412</t>
  </si>
  <si>
    <t xml:space="preserve">731, 732, 733, 734</t>
  </si>
  <si>
    <t xml:space="preserve">7144</t>
  </si>
  <si>
    <t xml:space="preserve">Wrenches, ratchets</t>
  </si>
  <si>
    <t xml:space="preserve">6624, 991</t>
  </si>
  <si>
    <t xml:space="preserve">Fell about 4 ft from ladder after losing grip on a pipe wrench; scratches to face plus compressed discs (spine). Fall &lt;6 ft. Ladder type not stated.</t>
  </si>
  <si>
    <t xml:space="preserve">Part of body: Scratches to face and compressed discs: single back code vs multi-part code. | Secondary source: Ground vs wrench as secondary source for a ladder fall; both appear.</t>
  </si>
  <si>
    <t xml:space="preserve">2024032008</t>
  </si>
  <si>
    <t xml:space="preserve">2024-03-05</t>
  </si>
  <si>
    <t xml:space="preserve">An employee was removing products that got stuck in a milk carton production machine when a piston from the machine pressed into the back of his right hand, lacerating it.</t>
  </si>
  <si>
    <t xml:space="preserve">3630</t>
  </si>
  <si>
    <t xml:space="preserve">Packaging, bottling, wrapping machinery — unspecified</t>
  </si>
  <si>
    <t xml:space="preserve">652</t>
  </si>
  <si>
    <t xml:space="preserve">Struck by running powered equipment— during maintenance, cleaning, testing</t>
  </si>
  <si>
    <t xml:space="preserve">650, 653, 659</t>
  </si>
  <si>
    <t xml:space="preserve">Packaging, bottling, wrapping machinery— unspecified</t>
  </si>
  <si>
    <t xml:space="preserve">363, 3639, 361</t>
  </si>
  <si>
    <t xml:space="preserve">463</t>
  </si>
  <si>
    <t xml:space="preserve">Piston in machine pressed into back of right hand while clearing stuck products: contact with running equipment during non-normal operation (unjamming).</t>
  </si>
  <si>
    <t xml:space="preserve">Event/Exposure: Piston pressing hand during clearing of a jam: 652 (maintenance/cleaning) vs 653 caught; precedence judgement.</t>
  </si>
  <si>
    <t xml:space="preserve">2024032582</t>
  </si>
  <si>
    <t xml:space="preserve">2024-03-22</t>
  </si>
  <si>
    <t xml:space="preserve">An employee was filling up a trailer with garbage juice and came in contact with the garbage juice or a caustic fluid, resulting in burns to the right forearm.</t>
  </si>
  <si>
    <t xml:space="preserve">Chemical burns, corrosions — degree unspecified</t>
  </si>
  <si>
    <t xml:space="preserve">Chemicals and hazardous materials — unspecified</t>
  </si>
  <si>
    <t xml:space="preserve">1520, 1590, 1511, 1512</t>
  </si>
  <si>
    <t xml:space="preserve">4179</t>
  </si>
  <si>
    <t xml:space="preserve">Garbage, recyclables, debris— n.e.c.</t>
  </si>
  <si>
    <t xml:space="preserve">533, 146</t>
  </si>
  <si>
    <t xml:space="preserve">Contact with garbage liquid or caustic fluid causing forearm burns; the substance is uncertain ('garbage juice or a caustic fluid') so nature and source are uncertain.</t>
  </si>
  <si>
    <t xml:space="preserve">Source: Narrative says 'garbage juice or a caustic fluid'; chemical vs garbage source cannot be determined.</t>
  </si>
  <si>
    <t xml:space="preserve">20241211414</t>
  </si>
  <si>
    <t xml:space="preserve">2024-12-10</t>
  </si>
  <si>
    <t xml:space="preserve">An employee was on a ladder inside a ceiling grid to strip a live electrical wire. The wire stripper he was holding contacted the live wire, resulting in a shock that caused him to fall from the ladder. The employee suffered a dislocated and broken left shoulder as well as second- and third-degree burns on his left finger.</t>
  </si>
  <si>
    <t xml:space="preserve">489</t>
  </si>
  <si>
    <t xml:space="preserve">Multiple upper extremities locations — n.e.c.</t>
  </si>
  <si>
    <t xml:space="preserve">4120</t>
  </si>
  <si>
    <t xml:space="preserve">Fall to lower level resulting from exposure or contact — unspecified</t>
  </si>
  <si>
    <t xml:space="preserve">4611</t>
  </si>
  <si>
    <t xml:space="preserve">Electrical wiring building or machine</t>
  </si>
  <si>
    <t xml:space="preserve">1825</t>
  </si>
  <si>
    <t xml:space="preserve">Fractures and burns</t>
  </si>
  <si>
    <t xml:space="preserve">189, 1841, 1531</t>
  </si>
  <si>
    <t xml:space="preserve">Multiple upper extremities locations— n.e.c.</t>
  </si>
  <si>
    <t xml:space="preserve">48, 480</t>
  </si>
  <si>
    <t xml:space="preserve">Fall to lower level resulting from exposure or contact— unspecified</t>
  </si>
  <si>
    <t xml:space="preserve">4121, 4122, 511</t>
  </si>
  <si>
    <t xml:space="preserve">Electrical wiring—building or machine</t>
  </si>
  <si>
    <t xml:space="preserve">Shock then fall from ladder: combination event code 412*; fractures/dislocation plus electrical burns span groups. Height of fall not stated; wire stripper contacted live wire.</t>
  </si>
  <si>
    <t xml:space="preserve">Nature: Dislocated/broken shoulder plus burns have a specific combination code (1825); recorded 189 n.e.c. is less specific.</t>
  </si>
  <si>
    <t xml:space="preserve">2024076269</t>
  </si>
  <si>
    <t xml:space="preserve">2024-07-11</t>
  </si>
  <si>
    <t xml:space="preserve">On July 11, 2024, an employee was reconnecting two pipes when one of them rolled off the support that was holding it up. It struck the employee's A-frame ladder and they fell 7.5 feet from the ladder to the floor below. The employee suffered a contusion and lacerations and was hospitalized.</t>
  </si>
  <si>
    <t xml:space="preserve">138</t>
  </si>
  <si>
    <t xml:space="preserve">Multiple surface and flesh wounds</t>
  </si>
  <si>
    <t xml:space="preserve">Other fall to lower level — 6 to 30 feet</t>
  </si>
  <si>
    <t xml:space="preserve">134, 132</t>
  </si>
  <si>
    <t xml:space="preserve">4122</t>
  </si>
  <si>
    <t xml:space="preserve">Fall to lower level resulting from exposure or contact— 6 to 30 feet</t>
  </si>
  <si>
    <t xml:space="preserve">4142, 6652</t>
  </si>
  <si>
    <t xml:space="preserve">Pipe rolled off support, struck A-frame ladder and worker fell 7.5 ft: fall resulting from contact. Contusion plus lacerations -&gt; 138; body parts not stated.</t>
  </si>
  <si>
    <t xml:space="preserve">Event/Exposure: Fall of 7.5 ft with contact: 4142 vs 4122 depends on whether contact with an object contributed. | Secondary source: Pipe that struck the ladder initiated the event; recorded secondary source is the floor surface.</t>
  </si>
  <si>
    <t xml:space="preserve">2024010089</t>
  </si>
  <si>
    <t xml:space="preserve">2024-01-04</t>
  </si>
  <si>
    <t xml:space="preserve">An employee was feeding a piece of metal into a triangle roller. The roller caught the employee's welding glove and pulled in their left hand, breaking three fingers and causing a degloving injury. The machine was unguarded at the time of the incident.</t>
  </si>
  <si>
    <t xml:space="preserve">128</t>
  </si>
  <si>
    <t xml:space="preserve">Multiple severe wounds and internal injuries</t>
  </si>
  <si>
    <t xml:space="preserve">350</t>
  </si>
  <si>
    <t xml:space="preserve">Metal, woodworking, and special material machinery — unspecified</t>
  </si>
  <si>
    <t xml:space="preserve">9217</t>
  </si>
  <si>
    <t xml:space="preserve">Gloves, handguards — except disposable, electric insulating</t>
  </si>
  <si>
    <t xml:space="preserve">1823, 124, 1222, 1220</t>
  </si>
  <si>
    <t xml:space="preserve">4429</t>
  </si>
  <si>
    <t xml:space="preserve">Other finger(s)— n.e.c.</t>
  </si>
  <si>
    <t xml:space="preserve">440, 448, 441, 4428</t>
  </si>
  <si>
    <t xml:space="preserve">3529</t>
  </si>
  <si>
    <t xml:space="preserve">Bending, rolling, shaping, stamping machinery— n.e.c.</t>
  </si>
  <si>
    <t xml:space="preserve">352, 3520</t>
  </si>
  <si>
    <t xml:space="preserve">Gloves, handguards— except disposable, electric insulating</t>
  </si>
  <si>
    <t xml:space="preserve">932, 991</t>
  </si>
  <si>
    <t xml:space="preserve">Hand pulled into unguarded triangle roller: fractured fingers plus degloving (avulsion). Glove caught (PPE) and unguarded machine as secondary source candidates.</t>
  </si>
  <si>
    <t xml:space="preserve">Part of body: Three broken fingers: 448 hand and fingers vs specific finger code. | Source: Triangle roller is a bending/rolling machine (3529); recorded 350 is less specific.</t>
  </si>
  <si>
    <t xml:space="preserve">20241211275</t>
  </si>
  <si>
    <t xml:space="preserve">2024-12-06</t>
  </si>
  <si>
    <t xml:space="preserve">An employee was acting in a loss prevention capacity when they were stabbed in the abdomen with a knife by an individual. The employee sustained multiple stab wounds, one of which punctured his lung. Part of the knife broke off in his body, requiring surgery.</t>
  </si>
  <si>
    <t xml:space="preserve">1231</t>
  </si>
  <si>
    <t xml:space="preserve">Open wounds involving internal organs, major blood vessels</t>
  </si>
  <si>
    <t xml:space="preserve">3123</t>
  </si>
  <si>
    <t xml:space="preserve">Lung(s), pleura</t>
  </si>
  <si>
    <t xml:space="preserve">112</t>
  </si>
  <si>
    <t xml:space="preserve">Stabbing, cutting, slashing by other person</t>
  </si>
  <si>
    <t xml:space="preserve">5763</t>
  </si>
  <si>
    <t xml:space="preserve">Robber</t>
  </si>
  <si>
    <t xml:space="preserve">7124</t>
  </si>
  <si>
    <t xml:space="preserve">Knives</t>
  </si>
  <si>
    <t xml:space="preserve">123, 1230, 128</t>
  </si>
  <si>
    <t xml:space="preserve">38</t>
  </si>
  <si>
    <t xml:space="preserve">Multiple trunk locations</t>
  </si>
  <si>
    <t xml:space="preserve">310, 330, 318</t>
  </si>
  <si>
    <t xml:space="preserve">119, 118</t>
  </si>
  <si>
    <t xml:space="preserve">570</t>
  </si>
  <si>
    <t xml:space="preserve">Person, other than injured or ill worker— unspecified</t>
  </si>
  <si>
    <t xml:space="preserve">576, 579</t>
  </si>
  <si>
    <t xml:space="preserve">7120, 990</t>
  </si>
  <si>
    <t xml:space="preserve">Stabbed in abdomen with a knife; one wound punctured lung; surgery to remove knife fragment. Open wounds involving internal organs. Assailant relationship not stated.</t>
  </si>
  <si>
    <t xml:space="preserve">Part of body: Stab wounds to abdomen and lung: single lung code vs multi-location trunk code. | Source: Assailant motive is not stated; robber (5763) cannot be confirmed from the narrative.</t>
  </si>
  <si>
    <t xml:space="preserve">2024098606</t>
  </si>
  <si>
    <t xml:space="preserve">2024-09-16</t>
  </si>
  <si>
    <t xml:space="preserve">On September 16, 2024, an employee was hooking up a lead to a gas meter in a customer's backyard when the employee was bitten by a copperhead snake. The employee was hospitalized.</t>
  </si>
  <si>
    <t xml:space="preserve">160</t>
  </si>
  <si>
    <t xml:space="preserve">Effects of poison, toxic, or allergenic exposure — unspecified</t>
  </si>
  <si>
    <t xml:space="preserve">6212</t>
  </si>
  <si>
    <t xml:space="preserve">Venomous animal bite — except "bugs"</t>
  </si>
  <si>
    <t xml:space="preserve">5141</t>
  </si>
  <si>
    <t xml:space="preserve">Venomous snakes</t>
  </si>
  <si>
    <t xml:space="preserve">160, 169</t>
  </si>
  <si>
    <t xml:space="preserve">Venomous animal bite— except "bugs"</t>
  </si>
  <si>
    <t xml:space="preserve">6210, 621</t>
  </si>
  <si>
    <t xml:space="preserve">514, 5140</t>
  </si>
  <si>
    <t xml:space="preserve">Copperhead (venomous) bite; hospitalized; no description of site or symptoms.</t>
  </si>
  <si>
    <t xml:space="preserve">Nature: Snake bite is a poison/toxic effect; 160 vs allergic-reaction code is a rule-reading choice. | Part of body: Blind coder flagged this field inconclusive; narrative does not give enough detail.</t>
  </si>
  <si>
    <t xml:space="preserve">20241211490</t>
  </si>
  <si>
    <t xml:space="preserve">2024-12-12</t>
  </si>
  <si>
    <t xml:space="preserve">An employee opened a fillet machine to remove a fish that had gotten stuck when their left hand made contact with the blade, resulting in cut ligaments between the thumb and index finger.</t>
  </si>
  <si>
    <t xml:space="preserve">Sprains, strains, tears — unspecified</t>
  </si>
  <si>
    <t xml:space="preserve">4428</t>
  </si>
  <si>
    <t xml:space="preserve">Thumb(s) and finger(s)</t>
  </si>
  <si>
    <t xml:space="preserve">Struck by running powered equipment — during maintenance, cleaning, testing</t>
  </si>
  <si>
    <t xml:space="preserve">3615</t>
  </si>
  <si>
    <t xml:space="preserve">Butchering machinery</t>
  </si>
  <si>
    <t xml:space="preserve">1441</t>
  </si>
  <si>
    <t xml:space="preserve">Major tears to muscles, tendons, ligaments</t>
  </si>
  <si>
    <t xml:space="preserve">132, 1440</t>
  </si>
  <si>
    <t xml:space="preserve">4428, 442, 448</t>
  </si>
  <si>
    <t xml:space="preserve">650, 653, 659, 669</t>
  </si>
  <si>
    <t xml:space="preserve">3610</t>
  </si>
  <si>
    <t xml:space="preserve">Food and beverage processing machinery— unspecified</t>
  </si>
  <si>
    <t xml:space="preserve">361</t>
  </si>
  <si>
    <t xml:space="preserve">Hand contacted blade while removing stuck fish from machine (unjamming); cut ligaments between thumb and index finger. Machine running state not stated.</t>
  </si>
  <si>
    <t xml:space="preserve">Nature: Cut ligaments: laceration vs tear/strain code is a rule-reading choice. | Part of body: Web between thumb and index finger spans hand and finger codes. | Source: Fish fillet machine is butchering-type machinery (3615); supported.</t>
  </si>
  <si>
    <t xml:space="preserve">2024076739</t>
  </si>
  <si>
    <t xml:space="preserve">2024-07-24</t>
  </si>
  <si>
    <t xml:space="preserve">An employee was performing tree care services at a client's property when he was shot in the abdomen by the client's adult son.</t>
  </si>
  <si>
    <t xml:space="preserve">121</t>
  </si>
  <si>
    <t xml:space="preserve">Gunshot wounds</t>
  </si>
  <si>
    <t xml:space="preserve">Shooting by other person</t>
  </si>
  <si>
    <t xml:space="preserve">5769</t>
  </si>
  <si>
    <t xml:space="preserve">Criminal assailant — except robber</t>
  </si>
  <si>
    <t xml:space="preserve">7810</t>
  </si>
  <si>
    <t xml:space="preserve">Firearms, air-powered guns — unspecified</t>
  </si>
  <si>
    <t xml:space="preserve">Abdomen— unspecified</t>
  </si>
  <si>
    <t xml:space="preserve">33, 331</t>
  </si>
  <si>
    <t xml:space="preserve">579</t>
  </si>
  <si>
    <t xml:space="preserve">Person, other than injured or ill worker— n.e.c.</t>
  </si>
  <si>
    <t xml:space="preserve">570, 574, 575</t>
  </si>
  <si>
    <t xml:space="preserve">Firearms, air-powered guns— unspecified</t>
  </si>
  <si>
    <t xml:space="preserve">7811, 7812, 7819</t>
  </si>
  <si>
    <t xml:space="preserve">Shot in abdomen by client's adult son: Event 111; source = person who inflicted the injury, secondary = firearm.</t>
  </si>
  <si>
    <t xml:space="preserve">Source: Shooting by a client's son: criminal assailant (5769) is a reasonable reading; motive not stated.</t>
  </si>
  <si>
    <t xml:space="preserve">2024054302</t>
  </si>
  <si>
    <t xml:space="preserve">2024-05-15</t>
  </si>
  <si>
    <t xml:space="preserve">An employee was moving a piece of lashing gear obstructing the walkway on a cargo ship when he slipped and fell through a ladder access hatch to the deck below. He sustained a fractured left foot.</t>
  </si>
  <si>
    <t xml:space="preserve">2244</t>
  </si>
  <si>
    <t xml:space="preserve">Fall, contact incident onboard water vehicle</t>
  </si>
  <si>
    <t xml:space="preserve">Cargo ship, freighter, passenger liner</t>
  </si>
  <si>
    <t xml:space="preserve">6622</t>
  </si>
  <si>
    <t xml:space="preserve">Existing opening, hole in constructed surface</t>
  </si>
  <si>
    <t xml:space="preserve">541</t>
  </si>
  <si>
    <t xml:space="preserve">Foot (feet)— excluding toes</t>
  </si>
  <si>
    <t xml:space="preserve">4141, 4142, 4312</t>
  </si>
  <si>
    <t xml:space="preserve">6624, 662</t>
  </si>
  <si>
    <t xml:space="preserve">Slipped and fell through ladder access hatch to deck below on cargo ship; fall height not stated.</t>
  </si>
  <si>
    <t xml:space="preserve">Part of body: Narrative states fractured foot; 541 (foot, excluding toes) is supported and more specific than 540. | Event/Exposure: Fall onboard a vessel: Event 224/2244 vs generic fall to lower level; both defensible.</t>
  </si>
  <si>
    <t xml:space="preserve">2024064978</t>
  </si>
  <si>
    <t xml:space="preserve">2024-06-06</t>
  </si>
  <si>
    <t xml:space="preserve">While cleaning a conveyor belt with a scraper, an employee came in contact with the moving conveyor belt and his left arm became trapped in the tripper unit. He suffered fractures and severe friction burns to both wrists, and severe friction burns to the upper left thigh.</t>
  </si>
  <si>
    <t xml:space="preserve">849</t>
  </si>
  <si>
    <t xml:space="preserve">Upper and lower extremities — n.e.c.</t>
  </si>
  <si>
    <t xml:space="preserve">3412</t>
  </si>
  <si>
    <t xml:space="preserve">Conveyors belt, slot, chain</t>
  </si>
  <si>
    <t xml:space="preserve">1825, 124, 133, 1222</t>
  </si>
  <si>
    <t xml:space="preserve">Upper and lower extremities— n.e.c.</t>
  </si>
  <si>
    <t xml:space="preserve">84, 48</t>
  </si>
  <si>
    <t xml:space="preserve">653, 654</t>
  </si>
  <si>
    <t xml:space="preserve">Conveyors—belt, slot, chain</t>
  </si>
  <si>
    <t xml:space="preserve">341, 3410</t>
  </si>
  <si>
    <t xml:space="preserve">7170</t>
  </si>
  <si>
    <t xml:space="preserve">Cleaning handtools— unspecified</t>
  </si>
  <si>
    <t xml:space="preserve">7179, 991</t>
  </si>
  <si>
    <t xml:space="preserve">Arm trapped in conveyor tripper while cleaning running conveyor with scraper: fractures plus friction burns (133 includes friction burns). Wrists plus thigh span upper and lower extremities.</t>
  </si>
  <si>
    <t xml:space="preserve">Secondary source: Scraper as secondary source is optional.</t>
  </si>
  <si>
    <t xml:space="preserve">2024054100</t>
  </si>
  <si>
    <t xml:space="preserve">2024-05-09</t>
  </si>
  <si>
    <t xml:space="preserve">An employee was putting concrete rip rap in a wheelbarrow when they tripped and the 12-inch x 14-inch concrete rip rap fell on their hands, crushing their fingers. The employee was hospitalized.</t>
  </si>
  <si>
    <t xml:space="preserve">Other finger(s) — n.e.c.</t>
  </si>
  <si>
    <t xml:space="preserve">4311</t>
  </si>
  <si>
    <t xml:space="preserve">Fall on same level resulting in exposure or contact</t>
  </si>
  <si>
    <t xml:space="preserve">4202</t>
  </si>
  <si>
    <t xml:space="preserve">Masonry building materials — unspecified form</t>
  </si>
  <si>
    <t xml:space="preserve">124, 1220</t>
  </si>
  <si>
    <t xml:space="preserve">6431</t>
  </si>
  <si>
    <t xml:space="preserve">Struck by object dropped by person</t>
  </si>
  <si>
    <t xml:space="preserve">6430, 664</t>
  </si>
  <si>
    <t xml:space="preserve">4212</t>
  </si>
  <si>
    <t xml:space="preserve">Structural blocks— stone and masonry</t>
  </si>
  <si>
    <t xml:space="preserve">4210, 4113, 4172, 4219</t>
  </si>
  <si>
    <t xml:space="preserve">Worker tripped and dropped the concrete rip rap himself, crushing fingers: object dropped by the injured worker (secondary source 991 per 6431 guidance).</t>
  </si>
  <si>
    <t xml:space="preserve">Event/Exposure: Tripped, then block fell on hands: fall (4311) vs struck by dropped object (6431); precedence judgement. | Source: Follows recorded event 4311 (surface fallen on). | Secondary source: Follows recorded event 4311 (object contacted as result of fall).</t>
  </si>
  <si>
    <t xml:space="preserve">2024065850</t>
  </si>
  <si>
    <t xml:space="preserve">2024-06-29</t>
  </si>
  <si>
    <t xml:space="preserve">A vacuum truck operator was loading six pieces of aluminum pipe and three rolls of plastic flex hose onto a trailer when he started feeling overheated. The employee became ill due to heat exhaustion/dehydration.</t>
  </si>
  <si>
    <t xml:space="preserve">1722</t>
  </si>
  <si>
    <t xml:space="preserve">Heat exhaustion, fatigue</t>
  </si>
  <si>
    <t xml:space="preserve">5312</t>
  </si>
  <si>
    <t xml:space="preserve">Exposure to environmental heat — outdoor</t>
  </si>
  <si>
    <t xml:space="preserve">1721, 1729</t>
  </si>
  <si>
    <t xml:space="preserve">888, 990</t>
  </si>
  <si>
    <t xml:space="preserve">5312, 5311, 70, 78</t>
  </si>
  <si>
    <t xml:space="preserve">Heat exhaustion/dehydration while loading pipe and hose; indoor/outdoor not stated so duration/location code unspecified.</t>
  </si>
  <si>
    <t xml:space="preserve">Event/Exposure: Narrative does not state indoor/outdoor setting; recorded 5312 (outdoor) assumes it.</t>
  </si>
  <si>
    <t xml:space="preserve">2024054147</t>
  </si>
  <si>
    <t xml:space="preserve">2024-05-10</t>
  </si>
  <si>
    <t xml:space="preserve">An employee was lifting a toolbox onto a cart when he felt a pull in his left wrist, resulting in a sprain/strain injury.</t>
  </si>
  <si>
    <t xml:space="preserve">43</t>
  </si>
  <si>
    <t xml:space="preserve">Wrist(s)</t>
  </si>
  <si>
    <t xml:space="preserve">714</t>
  </si>
  <si>
    <t xml:space="preserve">Overexertion while materials moving by hand</t>
  </si>
  <si>
    <t xml:space="preserve">Boxes, crates, cartons</t>
  </si>
  <si>
    <t xml:space="preserve">710</t>
  </si>
  <si>
    <t xml:space="preserve">Handtools — unspecified</t>
  </si>
  <si>
    <t xml:space="preserve">710, 719, 712</t>
  </si>
  <si>
    <t xml:space="preserve">2211</t>
  </si>
  <si>
    <t xml:space="preserve">Cabinets, cases, dressers</t>
  </si>
  <si>
    <t xml:space="preserve">2112, 221, 2219</t>
  </si>
  <si>
    <t xml:space="preserve">Strain of left wrist lifting toolbox onto cart; overexertion lifting object by hand; container (toolbox) coded over contents.</t>
  </si>
  <si>
    <t xml:space="preserve">Nature: Sprain/strain; 1442 fits. | Source: Toolbox: boxes/crates vs cabinets/cases; both defensible. | Secondary source: Whether a hand tool was involved cannot be determined.</t>
  </si>
  <si>
    <t xml:space="preserve">20241110424</t>
  </si>
  <si>
    <t xml:space="preserve">2024-11-08</t>
  </si>
  <si>
    <t xml:space="preserve">On 11/08/2024, an employee was working on piping a refrigeration condenser. Refrigeration condensers arrive from the factory with the internal piping pressurized and the end capped. The employee was cutting a capped refrigeration line when the cap blew off, striking the battery-operated saw he was using and knocking the saw it into his face. He was cut under the nose and struck on the head. The angle of the impact pushed metal fragments under his safety glasses and into his eyes. The employee sustained metal fragments in his eyes, lacerations to the face, and contusions to the head.</t>
  </si>
  <si>
    <t xml:space="preserve">7122</t>
  </si>
  <si>
    <t xml:space="preserve">Saws — except chainsaws</t>
  </si>
  <si>
    <t xml:space="preserve">9225</t>
  </si>
  <si>
    <t xml:space="preserve">Eye and face protection</t>
  </si>
  <si>
    <t xml:space="preserve">131, 1831</t>
  </si>
  <si>
    <t xml:space="preserve">128, 10, 1281</t>
  </si>
  <si>
    <t xml:space="preserve">6422</t>
  </si>
  <si>
    <t xml:space="preserve">Struck by dislodged or detached object(s)</t>
  </si>
  <si>
    <t xml:space="preserve">313, 6429, 651</t>
  </si>
  <si>
    <t xml:space="preserve">4416</t>
  </si>
  <si>
    <t xml:space="preserve">Pipe fittings, collars</t>
  </si>
  <si>
    <t xml:space="preserve">4911, 4919</t>
  </si>
  <si>
    <t xml:space="preserve">3319</t>
  </si>
  <si>
    <t xml:space="preserve">Cooling and humidifying machinery, appliances— n.e.c.</t>
  </si>
  <si>
    <t xml:space="preserve">3310, 3314</t>
  </si>
  <si>
    <t xml:space="preserve">Capped pressurized line cut; cap blew off, hit saw into face; metal fragments in eyes, lacerations, contusions -&gt; multiple surface/flesh wounds. Explosion vs propelled/dislodged object is a rule judgment (313 EXC points to 642).</t>
  </si>
  <si>
    <t xml:space="preserve">Event/Exposure: Cap blew off and struck the saw into the face; 659 vs 6422 depends on treating the saw or the cap as the striking object. | Source: Saw vs fitting as source: depends on the same event interpretation. | Secondary source: Safety glasses are mentioned; recorded 9225 is defensible.</t>
  </si>
  <si>
    <t xml:space="preserve">2024065219</t>
  </si>
  <si>
    <t xml:space="preserve">2024-06-12</t>
  </si>
  <si>
    <t xml:space="preserve">The injured employee was assisting a forklift operator at the worksite by guiding the vault into the proper position. The employee lost his balance and tripped into the path of the forklift. As a result, the employee's right arm and both legs were pinned and crushed by the forklift.</t>
  </si>
  <si>
    <t xml:space="preserve">Pedestrian struck by vehicle in nonroadway area — unspecified</t>
  </si>
  <si>
    <t xml:space="preserve">124, 128, 1232</t>
  </si>
  <si>
    <t xml:space="preserve">84</t>
  </si>
  <si>
    <t xml:space="preserve">2532, 654, 655</t>
  </si>
  <si>
    <t xml:space="preserve">Worker on foot tripped into path of forklift and arm and legs were pinned and crushed. Pedestrian-vehicle event (25*) precedes fall in order of precedence; injury type 'pinned and crushed' only.</t>
  </si>
  <si>
    <t xml:space="preserve">2024053967</t>
  </si>
  <si>
    <t xml:space="preserve">2024-05-06</t>
  </si>
  <si>
    <t xml:space="preserve">An employee was lifting boxes from a conveyor belt and putting them into a truck when he felt discomfort and stopped. He sustained a hernia and was hospitalized.</t>
  </si>
  <si>
    <t xml:space="preserve">Trunk— unspecified</t>
  </si>
  <si>
    <t xml:space="preserve">330, 331, 340, 3413, 990</t>
  </si>
  <si>
    <t xml:space="preserve">710, 719</t>
  </si>
  <si>
    <t xml:space="preserve">2110, 211</t>
  </si>
  <si>
    <t xml:space="preserve">Hernia while lifting boxes from conveyor into truck; hernia location not specified.</t>
  </si>
  <si>
    <t xml:space="preserve">Part of body: Hernia is an abdominal-wall condition (330).</t>
  </si>
  <si>
    <t xml:space="preserve">2024109805</t>
  </si>
  <si>
    <t xml:space="preserve">2024-10-21</t>
  </si>
  <si>
    <t xml:space="preserve">An employee was assembling door jambs using a pneumatic stapler when a piece of metal was propelled into their right eye, resulting in an injury that required surgery. The employee was hospitalized.</t>
  </si>
  <si>
    <t xml:space="preserve">1311</t>
  </si>
  <si>
    <t xml:space="preserve">Eye abrasion(s), irritation — except chemical or allergic</t>
  </si>
  <si>
    <t xml:space="preserve">4143</t>
  </si>
  <si>
    <t xml:space="preserve">Chips, pellets — metal</t>
  </si>
  <si>
    <t xml:space="preserve">7154</t>
  </si>
  <si>
    <t xml:space="preserve">Nailing or stapling tools</t>
  </si>
  <si>
    <t xml:space="preserve">Eye abrasion(s), irritation— except chemical or allergic</t>
  </si>
  <si>
    <t xml:space="preserve">100, 132, 123</t>
  </si>
  <si>
    <t xml:space="preserve">6421</t>
  </si>
  <si>
    <t xml:space="preserve">Struck by discharged object or substance</t>
  </si>
  <si>
    <t xml:space="preserve">6422, 642, 6429</t>
  </si>
  <si>
    <t xml:space="preserve">4417</t>
  </si>
  <si>
    <t xml:space="preserve">Staples</t>
  </si>
  <si>
    <t xml:space="preserve">441, 4410</t>
  </si>
  <si>
    <t xml:space="preserve">715, 7150</t>
  </si>
  <si>
    <t xml:space="preserve">Metal propelled into right eye from pneumatic stapler: event 6421 includes nail/staple gun discharge. Source = staple, secondary = stapler.</t>
  </si>
  <si>
    <t xml:space="preserve">Event/Exposure: Metal propelled by a pneumatic stapler: discharged vs dislodged object. | Source: Narrative says 'a piece of metal'; staple vs metal chip cannot be determined.</t>
  </si>
  <si>
    <t xml:space="preserve">20241211745</t>
  </si>
  <si>
    <t xml:space="preserve">2024-12-19</t>
  </si>
  <si>
    <t xml:space="preserve">An employee was working as a risk safety consultant on a construction jobsite when they were physically assaulted by a carpenter. The employee was hospitalized with a frontal brain bleed, an orbital fracture under his left eye, a laceration to the back of the head that required three staples, and injuries to their right hand, hip, and back.</t>
  </si>
  <si>
    <t xml:space="preserve">1149</t>
  </si>
  <si>
    <t xml:space="preserve">Hitting, kicking, beating by other person — n.e.c.</t>
  </si>
  <si>
    <t xml:space="preserve">5729</t>
  </si>
  <si>
    <t xml:space="preserve">Work associate — n.e.c.</t>
  </si>
  <si>
    <t xml:space="preserve">181, 180</t>
  </si>
  <si>
    <t xml:space="preserve">80</t>
  </si>
  <si>
    <t xml:space="preserve">Multiple body parts— unspecified</t>
  </si>
  <si>
    <t xml:space="preserve">813, 812, 882, 899</t>
  </si>
  <si>
    <t xml:space="preserve">110, 114, 1149, 118</t>
  </si>
  <si>
    <t xml:space="preserve">Co-worker or work associate of injured or ill worker— unspecified</t>
  </si>
  <si>
    <t xml:space="preserve">570, 579</t>
  </si>
  <si>
    <t xml:space="preserve">Physically assaulted: brain bleed, orbital fracture and scalp laceration plus hand, hip and back injuries. Relationship of the carpenter to the worker unclear (work associate vs unknown).</t>
  </si>
  <si>
    <t xml:space="preserve">Part of body: Head injuries plus hand/hip/back injuries: head-only code vs multi-part code. | Event/Exposure: Assault: 1149 (n.e.c.) vs 1140; manual order for hitting/kicking vs beating. | Source: Carpenter on the same site as work associate; 5729 supported. | Secondary source: Optional secondary source.</t>
  </si>
  <si>
    <t xml:space="preserve">2024075908</t>
  </si>
  <si>
    <t xml:space="preserve">2024-07-02</t>
  </si>
  <si>
    <t xml:space="preserve">An employee was helping a client into their home from the van which was parked on a steep slope driveway. They were found in the client's driveway unconscious. The client was strapped into their wheelchair which was found on top of the employee. The employee sustained a fracture behind her ear, a hematoma on the right side of her scalp, and a subarachnoid hemorrhage. She was hospitalized.</t>
  </si>
  <si>
    <t xml:space="preserve">1111</t>
  </si>
  <si>
    <t xml:space="preserve">Intracranial injuries with skull fractures</t>
  </si>
  <si>
    <t xml:space="preserve">1112, 181, 110</t>
  </si>
  <si>
    <t xml:space="preserve">118</t>
  </si>
  <si>
    <t xml:space="preserve">Multiple cranial structures</t>
  </si>
  <si>
    <t xml:space="preserve">111, 113, 11, 110</t>
  </si>
  <si>
    <t xml:space="preserve">6431, 663, 6612, 612</t>
  </si>
  <si>
    <t xml:space="preserve">743, 5732, 574</t>
  </si>
  <si>
    <t xml:space="preserve">Unwitnessed: worker found unconscious with wheelchair on top of her. Skull fracture behind ear with subarachnoid hemorrhage -&gt; 1111. Mechanism (fall? tip-over? struck?) is not described, so event and source cannot be assigned.</t>
  </si>
  <si>
    <t xml:space="preserve">Part of body: Skull fracture, hematoma and subarachnoid hemorrhage: brain vs multiple cranial structures.</t>
  </si>
  <si>
    <t xml:space="preserve">2024087643</t>
  </si>
  <si>
    <t xml:space="preserve">2024-08-19</t>
  </si>
  <si>
    <t xml:space="preserve">An employee was moving boxes and herniated a disc in their back.</t>
  </si>
  <si>
    <t xml:space="preserve">Exterior and musculoskeletal structures of the back— unspecified</t>
  </si>
  <si>
    <t xml:space="preserve">32, 322</t>
  </si>
  <si>
    <t xml:space="preserve">Herniated disc while moving boxes; region of back not stated.</t>
  </si>
  <si>
    <t xml:space="preserve">2024087253</t>
  </si>
  <si>
    <t xml:space="preserve">2024-08-08</t>
  </si>
  <si>
    <t xml:space="preserve">An employee had loaded railroad ties into a customer's trailer. The employee was bending down to retrieve a strap between the railroad ties (that were on the forklift) and the tilt-up rail of the trailer. The customer pulled forward and the employee became caught between the customer's trailer and the forklift. The employee was hospitalized with four broken ribs on their right side and two dislocated ribs on their left side.</t>
  </si>
  <si>
    <t xml:space="preserve">1824</t>
  </si>
  <si>
    <t xml:space="preserve">Fractures and soft tissue injuries</t>
  </si>
  <si>
    <t xml:space="preserve">3112</t>
  </si>
  <si>
    <t xml:space="preserve">Rib(s), oblique area</t>
  </si>
  <si>
    <t xml:space="preserve">2532</t>
  </si>
  <si>
    <t xml:space="preserve">Pedestrian struck by forward-moving vehicle in nonroadway area</t>
  </si>
  <si>
    <t xml:space="preserve">840</t>
  </si>
  <si>
    <t xml:space="preserve">Roadway vehicle — motorized, unspecified</t>
  </si>
  <si>
    <t xml:space="preserve">124, 141, 1232</t>
  </si>
  <si>
    <t xml:space="preserve">311, 31, 310</t>
  </si>
  <si>
    <t xml:space="preserve">654</t>
  </si>
  <si>
    <t xml:space="preserve">Compressed between running equipment and other object(s)</t>
  </si>
  <si>
    <t xml:space="preserve">2530, 2532, 664</t>
  </si>
  <si>
    <t xml:space="preserve">843, 8430, 8621</t>
  </si>
  <si>
    <t xml:space="preserve">Caught between customer's trailer (pulling forward) and forklift: fractured and dislocated ribs. Vehicle in motion vs nonrunning objects and pedestrian rules all plausible.</t>
  </si>
  <si>
    <t xml:space="preserve">Event/Exposure: Caught between trailer and forklift: 2532 (pedestrian struck by vehicle) vs 654 (compressed between equipment); precedence. | Source: Source follows the recorded event. | Secondary source: Source follows the recorded event.</t>
  </si>
  <si>
    <t xml:space="preserve">20241211494</t>
  </si>
  <si>
    <t xml:space="preserve">An employee was troubleshooting a machine when he slipped and went to brace himself. His hand entered the machine and the blade contacted his finger, resulting in a fingertip amputation.</t>
  </si>
  <si>
    <t xml:space="preserve">Machinery— unspecified</t>
  </si>
  <si>
    <t xml:space="preserve">S</t>
  </si>
  <si>
    <t xml:space="preserve">Hand entered machine while troubleshooting; blade contacted finger; fingertip amputation. Machine type not named.</t>
  </si>
  <si>
    <t xml:space="preserve">Event/Exposure: Slipped and braced hand into machine: fall (4311) vs machine contact (652); precedence under R2.b. | Source: Blind coder flagged this field inconclusive; narrative does not give enough detail. | Secondary source: Source/secondary source depend on the event interpretation above.</t>
  </si>
  <si>
    <t xml:space="preserve">2024098518</t>
  </si>
  <si>
    <t xml:space="preserve">2024-09-13</t>
  </si>
  <si>
    <t xml:space="preserve">An employee was sanitizing the batter machine when the rotating shaft inside the pump fractured their left index and middle fingers.</t>
  </si>
  <si>
    <t xml:space="preserve">3619</t>
  </si>
  <si>
    <t xml:space="preserve">Food and beverage processing machinery — n.e.c.</t>
  </si>
  <si>
    <t xml:space="preserve">653, 650, 654</t>
  </si>
  <si>
    <t xml:space="preserve">345, 361, 3619</t>
  </si>
  <si>
    <t xml:space="preserve">Rotating pump shaft inside a batter machine fractured two fingers while sanitizing (cleaning during operation).</t>
  </si>
  <si>
    <t xml:space="preserve">Source: 3619 (n.e.c.) vs 3610 (unspecified) for a batter machine. | Secondary source: Pump shaft is part of the machine; secondary source optional.</t>
  </si>
  <si>
    <t xml:space="preserve">20241211890</t>
  </si>
  <si>
    <t xml:space="preserve">2024-12-27</t>
  </si>
  <si>
    <t xml:space="preserve">A law enforcement officer was breaking up an altercation when he was shot in the back of the neck by a third party. He was paralyzed from the injury and has no feeling from the chest down.</t>
  </si>
  <si>
    <t xml:space="preserve">Person, other than injured or ill worker — unspecified</t>
  </si>
  <si>
    <t xml:space="preserve">112, 121, 1120</t>
  </si>
  <si>
    <t xml:space="preserve">22, 28</t>
  </si>
  <si>
    <t xml:space="preserve">Shot in back of neck, paralyzed: Nature 121 excludes paralysis from gunshot (112). Quadriplegia/paralysis from neck -&gt; Part 21. Shooter's relationship unknown.</t>
  </si>
  <si>
    <t xml:space="preserve">2024098793</t>
  </si>
  <si>
    <t xml:space="preserve">2024-09-20</t>
  </si>
  <si>
    <t xml:space="preserve">An employee was on a 6-foot ladder conducting maintenance on a ballast above the ceiling in a hallway. When the employee removed the ballast he was shocked with 208V of electricity and fell off the ladder, landing on his left shoulder. The employee suffered an electric shock and a dislocated shoulder.</t>
  </si>
  <si>
    <t xml:space="preserve">1843</t>
  </si>
  <si>
    <t xml:space="preserve">Soft tissue injuries and effects of electrical current</t>
  </si>
  <si>
    <t xml:space="preserve">141, 1532, 189</t>
  </si>
  <si>
    <t xml:space="preserve">883, 6</t>
  </si>
  <si>
    <t xml:space="preserve">4121, 4122, 512, 511</t>
  </si>
  <si>
    <t xml:space="preserve">733, 731, 732</t>
  </si>
  <si>
    <t xml:space="preserve">2249</t>
  </si>
  <si>
    <t xml:space="preserve">Lighting equipment— n.e.c.</t>
  </si>
  <si>
    <t xml:space="preserve">2240, 2241, 4619</t>
  </si>
  <si>
    <t xml:space="preserve">Electric shock from lighting ballast then fall from 6-ft ladder: combination event 412*; dislocated shoulder plus electrical effects.</t>
  </si>
  <si>
    <t xml:space="preserve">Part of body: Electric shock plus dislocated shoulder: body-systems-and-other-part code (883) supported. | Secondary source: Wiring vs ballast lighting equipment as secondary source.</t>
  </si>
  <si>
    <t xml:space="preserve">2024021711</t>
  </si>
  <si>
    <t xml:space="preserve">2024-02-24</t>
  </si>
  <si>
    <t xml:space="preserve">An employee was trying to calm a patient. The patient became aggressive toward her, a security guard intervened, and during the altercation both the patient and the guard fell on the employee. The injured employee suffered a broken tibia.</t>
  </si>
  <si>
    <t xml:space="preserve">Intentional violence by other person— n.e.c.</t>
  </si>
  <si>
    <t xml:space="preserve">110, 1142, 612, 114</t>
  </si>
  <si>
    <t xml:space="preserve">5730, 5739, 572</t>
  </si>
  <si>
    <t xml:space="preserve">5721, 5729, 991</t>
  </si>
  <si>
    <t xml:space="preserve">Patient became aggressive; patient and guard fell on the worker, fracturing tibia. Violence vs unintentional contact is not clear.</t>
  </si>
  <si>
    <t xml:space="preserve">Event/Exposure: Narrative states the worker was calming a patient; 1142 (while providing care) supported. | Secondary source: Guard as co-worker secondary source is optional.</t>
  </si>
  <si>
    <t xml:space="preserve">2024098111</t>
  </si>
  <si>
    <t xml:space="preserve">2024-09-01</t>
  </si>
  <si>
    <t xml:space="preserve">An employee was taking a break outside when they were bit by multiple ants that resulted in welts on their lower legs and ankles. The employee experienced difficulty breathing and they were hospitalized with an allergic reaction.</t>
  </si>
  <si>
    <t xml:space="preserve">168</t>
  </si>
  <si>
    <t xml:space="preserve">Multiple effects of poison, toxic, or allergenic exposure</t>
  </si>
  <si>
    <t xml:space="preserve">5133</t>
  </si>
  <si>
    <t xml:space="preserve">Ants</t>
  </si>
  <si>
    <t xml:space="preserve">163, 166, 167</t>
  </si>
  <si>
    <t xml:space="preserve">621</t>
  </si>
  <si>
    <t xml:space="preserve">513, 5130</t>
  </si>
  <si>
    <t xml:space="preserve">Multiple ant bites with difficulty breathing and hospitalization for allergic reaction (systemic) -&gt; 162/16*; welts on lower legs noted.</t>
  </si>
  <si>
    <t xml:space="preserve">Nature: Welts plus respiratory difficulty are combined skin and systemic reactions; manual 168 supports it. | Part of body: Skin and systemic effects: 883 supported.</t>
  </si>
  <si>
    <t xml:space="preserve">2024053885</t>
  </si>
  <si>
    <t xml:space="preserve">2024-05-03</t>
  </si>
  <si>
    <t xml:space="preserve">An employee was qualifying with a shotgun at a firearms range and adjusting the stock length when the gun discharged, shooting them in the foot. They sustained a gunshot wound to their right big toe.</t>
  </si>
  <si>
    <t xml:space="preserve">641</t>
  </si>
  <si>
    <t xml:space="preserve">Gun discharge — accidental or intent unknown</t>
  </si>
  <si>
    <t xml:space="preserve">7812</t>
  </si>
  <si>
    <t xml:space="preserve">Long guns</t>
  </si>
  <si>
    <t xml:space="preserve">Gun discharge— accidental or intent unknown</t>
  </si>
  <si>
    <t xml:space="preserve">7810, 7811, 7819</t>
  </si>
  <si>
    <t xml:space="preserve">Shotgun discharged accidentally while adjusting stock; gunshot wound to right big toe.</t>
  </si>
  <si>
    <t xml:space="preserve">2024043231</t>
  </si>
  <si>
    <t xml:space="preserve">2024-04-13</t>
  </si>
  <si>
    <t xml:space="preserve">An employee was using a hose to rinse the rollers of a glue machine that had laminated wood boards. The hose got caught in the rollers before pulling the employee's right arm into the rollers, resulting in hospitalization due to a contusion to the forearm and elbow, an elbow sprain, muscle strain, fascia and tendon damage in the forearm, pain in the forearm and elbow, and a contusion and pain in the right upper arm.</t>
  </si>
  <si>
    <t xml:space="preserve">1831</t>
  </si>
  <si>
    <t xml:space="preserve">Surface, flesh wounds and soft tissue injuries</t>
  </si>
  <si>
    <t xml:space="preserve">3549</t>
  </si>
  <si>
    <t xml:space="preserve">Industrial surfacing and finishing machinery — n.e.c.</t>
  </si>
  <si>
    <t xml:space="preserve">2122</t>
  </si>
  <si>
    <t xml:space="preserve">Hoses — except machine</t>
  </si>
  <si>
    <t xml:space="preserve">148, 134, 144, 1448</t>
  </si>
  <si>
    <t xml:space="preserve">428</t>
  </si>
  <si>
    <t xml:space="preserve">Multiple arm locations</t>
  </si>
  <si>
    <t xml:space="preserve">420, 423, 422</t>
  </si>
  <si>
    <t xml:space="preserve">653, 662</t>
  </si>
  <si>
    <t xml:space="preserve">3590</t>
  </si>
  <si>
    <t xml:space="preserve">Other metal, wood, and special material machinery— unspecified</t>
  </si>
  <si>
    <t xml:space="preserve">323, 3599</t>
  </si>
  <si>
    <t xml:space="preserve">Hoses— except machine</t>
  </si>
  <si>
    <t xml:space="preserve">443, 717, 991</t>
  </si>
  <si>
    <t xml:space="preserve">Hose caught in glue-machine rollers pulling arm in during rinsing/cleaning: contusions plus sprain/strain/tendon damage across forearm, elbow, upper arm.</t>
  </si>
  <si>
    <t xml:space="preserve">Part of body: Forearm, elbow and upper arm: multiple arm (428) vs multiple upper-extremity n.e.c. (489). | Source: Glue/laminating machine: specific machine code vs unspecified.</t>
  </si>
  <si>
    <t xml:space="preserve">2024065321</t>
  </si>
  <si>
    <t xml:space="preserve">2024-06-16</t>
  </si>
  <si>
    <t xml:space="preserve">An employee was working at his desk inside the manufacturing plant near a manual lathe machine that makes spare parts from metal. The machine has coolant that tested positive for Legionella that caused the employee to develop severe respiratory symptoms requiring hospitalization.</t>
  </si>
  <si>
    <t xml:space="preserve">3197</t>
  </si>
  <si>
    <t xml:space="preserve">Legionnaires' disease</t>
  </si>
  <si>
    <t xml:space="preserve">5532</t>
  </si>
  <si>
    <t xml:space="preserve">Inhalation of harmful substance — repeated or prolonged</t>
  </si>
  <si>
    <t xml:space="preserve">5311</t>
  </si>
  <si>
    <t xml:space="preserve">Bacteria</t>
  </si>
  <si>
    <t xml:space="preserve">Antifreeze</t>
  </si>
  <si>
    <t xml:space="preserve">3199, 319, 5160</t>
  </si>
  <si>
    <t xml:space="preserve">5530</t>
  </si>
  <si>
    <t xml:space="preserve">Inhalation of harmful substance— unspecified</t>
  </si>
  <si>
    <t xml:space="preserve">5531, 5532, 553</t>
  </si>
  <si>
    <t xml:space="preserve">Infectious agents— unspecified</t>
  </si>
  <si>
    <t xml:space="preserve">531, 164</t>
  </si>
  <si>
    <t xml:space="preserve">3534</t>
  </si>
  <si>
    <t xml:space="preserve">Lathes</t>
  </si>
  <si>
    <t xml:space="preserve">353, 991</t>
  </si>
  <si>
    <t xml:space="preserve">Legionella-positive coolant of a lathe; severe respiratory symptoms; no diagnosis stated, 3197 includes Legionella. Exposure duration not stated.</t>
  </si>
  <si>
    <t xml:space="preserve">Event/Exposure: Prolonged vs unspecified inhalation exposure. | Source: Legionella is a bacterium; 5311 supported. | Secondary source: Coolant (recorded) vs lathe; narrative supports both.</t>
  </si>
  <si>
    <t xml:space="preserve">2024109481</t>
  </si>
  <si>
    <t xml:space="preserve">2024-10-11</t>
  </si>
  <si>
    <t xml:space="preserve">On October 11, 2024, at 12:24 p.m., an employee was refueling a gasoline generator on a work truck when it ignited. The employee suffered burns to their arms, hands, neck, and face and were hospitalized.</t>
  </si>
  <si>
    <t xml:space="preserve">899</t>
  </si>
  <si>
    <t xml:space="preserve">Multiple body parts — n.e.c.</t>
  </si>
  <si>
    <t xml:space="preserve">3675</t>
  </si>
  <si>
    <t xml:space="preserve">Generators</t>
  </si>
  <si>
    <t xml:space="preserve">1352</t>
  </si>
  <si>
    <t xml:space="preserve">Petroleum-based fuels</t>
  </si>
  <si>
    <t xml:space="preserve">1590, 1521, 1522, 1523</t>
  </si>
  <si>
    <t xml:space="preserve">88, 81, 813, 882, 899</t>
  </si>
  <si>
    <t xml:space="preserve">Fire— unspecified</t>
  </si>
  <si>
    <t xml:space="preserve">325, 327, 326, 314, 324</t>
  </si>
  <si>
    <t xml:space="preserve">135, 1350</t>
  </si>
  <si>
    <t xml:space="preserve">Gasoline generator ignited during refueling; burns to arms, hands, neck, face. Fire vs flash fire vs explosion not stated; item that ignited unclear.</t>
  </si>
  <si>
    <t xml:space="preserve">Part of body: Arms, hands, neck and face are listed parts; 899 more appropriate than unspecified. | Event/Exposure: Generator fire during refueling: machinery fire (324) vs fire unspecified. | Secondary source: Gasoline (petroleum fuel) is stated in the narrative.</t>
  </si>
  <si>
    <t xml:space="preserve">2024065379</t>
  </si>
  <si>
    <t xml:space="preserve">2024-06-18</t>
  </si>
  <si>
    <t xml:space="preserve">An employee was cleaning the L-30 transfer conveyor belts with a rag and cleaning solution. The employee's arm tripped a sensor, causing the belts to close on their arm. The employee suffered nerve damage in their shoulder and arm and were hospitalized. The machine was not de-energized and lock out/tag out was performed.</t>
  </si>
  <si>
    <t xml:space="preserve">Pinched nerve</t>
  </si>
  <si>
    <t xml:space="preserve">484</t>
  </si>
  <si>
    <t xml:space="preserve">Shoulder(s) and arm(s)</t>
  </si>
  <si>
    <t xml:space="preserve">9351</t>
  </si>
  <si>
    <t xml:space="preserve">"Lock out/ tag out" communication systems</t>
  </si>
  <si>
    <t xml:space="preserve">149</t>
  </si>
  <si>
    <t xml:space="preserve">Soft tissue injuries— n.e.c.</t>
  </si>
  <si>
    <t xml:space="preserve">146, 140</t>
  </si>
  <si>
    <t xml:space="preserve">41, 42, 489</t>
  </si>
  <si>
    <t xml:space="preserve">654, 653</t>
  </si>
  <si>
    <t xml:space="preserve">932, 933</t>
  </si>
  <si>
    <t xml:space="preserve">Arm tripped a sensor while worker cleaned conveyor; belts closed on arm; 'nerve damage' only. Cleaning (non-normal operation).</t>
  </si>
  <si>
    <t xml:space="preserve">Nature: Nerve damage; pinched nerve (146) is defensible. | Secondary source: Lock-out/tag-out is mentioned; recorded as secondary source.</t>
  </si>
  <si>
    <t xml:space="preserve">20241110591</t>
  </si>
  <si>
    <t xml:space="preserve">2024-11-13</t>
  </si>
  <si>
    <t xml:space="preserve">A employee was welding and an assistant was handing him welding rods. The welder received burns to his hands and face and was not hospitalized. The assistant received first- and second-degree burns to their hands, neck, and face that required hospitalization.</t>
  </si>
  <si>
    <t xml:space="preserve">1522</t>
  </si>
  <si>
    <t xml:space="preserve">Thermal burns — second degree</t>
  </si>
  <si>
    <t xml:space="preserve">Thermal burns— second degree</t>
  </si>
  <si>
    <t xml:space="preserve">1520, 1521, 1590, 1591</t>
  </si>
  <si>
    <t xml:space="preserve">813, 882, 88</t>
  </si>
  <si>
    <t xml:space="preserve">513, 550</t>
  </si>
  <si>
    <t xml:space="preserve">7181</t>
  </si>
  <si>
    <t xml:space="preserve">Torches— welding, cutting</t>
  </si>
  <si>
    <t xml:space="preserve">718, 3595, 7180</t>
  </si>
  <si>
    <t xml:space="preserve">Assistant to welder burned on hands, neck, face; mechanism not described (spatter? arc?), degree 1st-2nd -&gt; highest degree coded.</t>
  </si>
  <si>
    <t xml:space="preserve">Part of body: Multiple listed parts; 899 supported. | Event/Exposure: Welding burns support contact with hot objects/substances; recorded 990 is less specific. | Source: Welding torch/rods supported; recorded 990 is less specific. | Secondary source: Whether a secondary source exists cannot be determined.</t>
  </si>
  <si>
    <t xml:space="preserve">2024065448</t>
  </si>
  <si>
    <t xml:space="preserve">2024-06-19</t>
  </si>
  <si>
    <t xml:space="preserve">An employee was making an adjustment to the air spring system on a truck when the air spring on the driver's side inflated and exploded. The sudden release of air pressure propelled the employee's head into the truck's frame, resulting in serious injury to their head and hearing.</t>
  </si>
  <si>
    <t xml:space="preserve">Explosion — unspecified</t>
  </si>
  <si>
    <t xml:space="preserve">4716</t>
  </si>
  <si>
    <t xml:space="preserve">Axles, suspensions</t>
  </si>
  <si>
    <t xml:space="preserve">Multiple traumatic injuries and disorders— unspecified</t>
  </si>
  <si>
    <t xml:space="preserve">100, 136, 2261, 181</t>
  </si>
  <si>
    <t xml:space="preserve">10, 12, 121, 128</t>
  </si>
  <si>
    <t xml:space="preserve">642, 319</t>
  </si>
  <si>
    <t xml:space="preserve">4639</t>
  </si>
  <si>
    <t xml:space="preserve">Machine hydraulics and pressurized components— n.e.c.</t>
  </si>
  <si>
    <t xml:space="preserve">463, 4630, 4631</t>
  </si>
  <si>
    <t xml:space="preserve">8430</t>
  </si>
  <si>
    <t xml:space="preserve">Trucks— unspecified</t>
  </si>
  <si>
    <t xml:space="preserve">991, 4720</t>
  </si>
  <si>
    <t xml:space="preserve">Truck air spring exploded and propelled head into truck frame: head and hearing injuries not specified further.</t>
  </si>
  <si>
    <t xml:space="preserve">Nature: Head and hearing injuries: single intracranial code vs multiple traumatic injuries. | Part of body: Part follows nature choice. | Event/Exposure: Air spring burst is a pressure-vessel type explosion (313); recorded 310 is less specific. | Source: Air spring is part of the suspension; 4716 supported. | Secondary source: Truck as secondary source optional.</t>
  </si>
  <si>
    <t xml:space="preserve">2024109729</t>
  </si>
  <si>
    <t xml:space="preserve">2024-10-18</t>
  </si>
  <si>
    <t xml:space="preserve">An employee was removing wooden crate panels. A panel from a different crate located behind the employee broke loose from its screws and struck the employee on the left hip area. The employee was hospitalized for a dislocated hip.</t>
  </si>
  <si>
    <t xml:space="preserve">4231</t>
  </si>
  <si>
    <t xml:space="preserve">Sheets, panels — wood, plywood, MDF</t>
  </si>
  <si>
    <t xml:space="preserve">6439, 643, 6432</t>
  </si>
  <si>
    <t xml:space="preserve">2110, 423</t>
  </si>
  <si>
    <t xml:space="preserve">Panel from another crate broke loose from its screws and struck hip: dislodged/detached object; dislocated hip.</t>
  </si>
  <si>
    <t xml:space="preserve">Source: Panel from a crate: panel vs crate as source. | Secondary source: Swap of source/secondary source for the same two items.</t>
  </si>
  <si>
    <t xml:space="preserve">2024109199</t>
  </si>
  <si>
    <t xml:space="preserve">2024-10-02</t>
  </si>
  <si>
    <t xml:space="preserve">An employee was operating a walk-behind mower with a standing attachment when the mower hit a large rock, causing it to stop. The employee was thrown forward and hit his abdomen on the handle control bar on the mower. The employee sustained an injury to his large intestine.</t>
  </si>
  <si>
    <t xml:space="preserve">1230</t>
  </si>
  <si>
    <t xml:space="preserve">Injuries to internal organs, major blood vessels — unspecified</t>
  </si>
  <si>
    <t xml:space="preserve">3122</t>
  </si>
  <si>
    <t xml:space="preserve">Lawn mower — riding</t>
  </si>
  <si>
    <t xml:space="preserve">4113</t>
  </si>
  <si>
    <t xml:space="preserve">Rocks, stone, gravel</t>
  </si>
  <si>
    <t xml:space="preserve">123, 1230, 1231</t>
  </si>
  <si>
    <t xml:space="preserve">Large intestine, colon, rectum</t>
  </si>
  <si>
    <t xml:space="preserve">333, 3330, 338</t>
  </si>
  <si>
    <t xml:space="preserve">651</t>
  </si>
  <si>
    <t xml:space="preserve">Struck by running powered equipment— irregular movement, kick back</t>
  </si>
  <si>
    <t xml:space="preserve">659, 665, 6650</t>
  </si>
  <si>
    <t xml:space="preserve">Lawn mower— walk behind</t>
  </si>
  <si>
    <t xml:space="preserve">312</t>
  </si>
  <si>
    <t xml:space="preserve">4114, 4110, 991</t>
  </si>
  <si>
    <t xml:space="preserve">Walk-behind mower hit rock and stopped; worker thrown against control bar; large-intestine injury. Closed trauma to internal organ; event is a judgment (irregular movement of running equipment vs struck against).</t>
  </si>
  <si>
    <t xml:space="preserve">Nature: Large-intestine injury; 1232 (closed trauma) is more specific than 1230. | Part of body: Narrative names an injury to the large intestine; Part rule 2.a.2 says to code the specific organ when known (3333). Recorded 330 (abdomen, unspecified) is less specific. | Event/Exposure: Mower stopped after hitting a rock; 2723 collision with stationary object supported. | Source: Narrative says walk-behind mower with standing attachment; walk-behind vs riding is ambiguous.</t>
  </si>
  <si>
    <t xml:space="preserve">2024043490</t>
  </si>
  <si>
    <t xml:space="preserve">2024-04-22</t>
  </si>
  <si>
    <t xml:space="preserve">An employee plugged in panel strings from the big lead assembly (BLA) and received a shock, resulting in burns to their hands.</t>
  </si>
  <si>
    <t xml:space="preserve">1531</t>
  </si>
  <si>
    <t xml:space="preserve">Electrical burns — any degree</t>
  </si>
  <si>
    <t xml:space="preserve">5110</t>
  </si>
  <si>
    <t xml:space="preserve">Direct exposure to electricity — unspecified</t>
  </si>
  <si>
    <t xml:space="preserve">4615</t>
  </si>
  <si>
    <t xml:space="preserve">Switchboards, panels, fuses</t>
  </si>
  <si>
    <t xml:space="preserve">Electrical burns— any degree</t>
  </si>
  <si>
    <t xml:space="preserve">153, 1532, 1538, 1520</t>
  </si>
  <si>
    <t xml:space="preserve">Direct exposure to electricity— unspecified</t>
  </si>
  <si>
    <t xml:space="preserve">5111, 5112, 512, 513</t>
  </si>
  <si>
    <t xml:space="preserve">4614</t>
  </si>
  <si>
    <t xml:space="preserve">Solar panels</t>
  </si>
  <si>
    <t xml:space="preserve">4610, 4619, 4615</t>
  </si>
  <si>
    <t xml:space="preserve">Shock while plugging in panel strings: electrical burns to hands. Voltage not stated; equipment (solar array lead assembly) mapped to electric parts.</t>
  </si>
  <si>
    <t xml:space="preserve">Part of body: 'Hands' with or without fingers. | Source: Panel strings from a battery assembly: switchboard vs solar panel; narrative ambiguous.</t>
  </si>
  <si>
    <t xml:space="preserve">2024010138</t>
  </si>
  <si>
    <t xml:space="preserve">2024-01-06</t>
  </si>
  <si>
    <t xml:space="preserve">An employee was removing a pallet that had become stuck on a pallet tipper machine. When the stuck pallet was dislodged, other pallets moved and pinned the employee against part of the machine. The employee suffered broken ribs and a laceration to the liver.</t>
  </si>
  <si>
    <t xml:space="preserve">664</t>
  </si>
  <si>
    <t xml:space="preserve">Caught or wedged between objects — nonrunning</t>
  </si>
  <si>
    <t xml:space="preserve">217</t>
  </si>
  <si>
    <t xml:space="preserve">Skids, pallets</t>
  </si>
  <si>
    <t xml:space="preserve">3470</t>
  </si>
  <si>
    <t xml:space="preserve">Material handling and warehousing machinery — unspecified</t>
  </si>
  <si>
    <t xml:space="preserve">3112, 3323, 310, 33</t>
  </si>
  <si>
    <t xml:space="preserve">664, 654, 652</t>
  </si>
  <si>
    <t xml:space="preserve">Material handling and warehousing machinery— unspecified</t>
  </si>
  <si>
    <t xml:space="preserve">Shifting pallets pinned worker against machine part: broken ribs and liver laceration -&gt; closed trauma to internal organs; ribs plus abdomen = multiple trunk. Whether the machine was running not stated.</t>
  </si>
  <si>
    <t xml:space="preserve">Event/Exposure: Pinned against machine by shifting pallets: caught/wedged (664) vs struck by sliding objects (663).</t>
  </si>
  <si>
    <t xml:space="preserve">2024065209</t>
  </si>
  <si>
    <t xml:space="preserve">An employee was removing hot oil from a fryer. The employee was using a small plastic bucket to move oil from the fryer to a larger bucket. The oil melted through the bucket and spilled onto the employee's legs and feet causing first- and second-degree burns to both legs and feet. The employee was hospitalized.</t>
  </si>
  <si>
    <t xml:space="preserve">5829</t>
  </si>
  <si>
    <t xml:space="preserve">Foot(feet) and leg(s) — n.e.c.</t>
  </si>
  <si>
    <t xml:space="preserve">5221</t>
  </si>
  <si>
    <t xml:space="preserve">Fats, oils, cooking greases</t>
  </si>
  <si>
    <t xml:space="preserve">2113</t>
  </si>
  <si>
    <t xml:space="preserve">Buckets, baskets, pails</t>
  </si>
  <si>
    <t xml:space="preserve">1520, 1521</t>
  </si>
  <si>
    <t xml:space="preserve">5820</t>
  </si>
  <si>
    <t xml:space="preserve">Foot(feet) and leg(s)— unspecified</t>
  </si>
  <si>
    <t xml:space="preserve">5829, 580</t>
  </si>
  <si>
    <t xml:space="preserve">4152, 135, 5220</t>
  </si>
  <si>
    <t xml:space="preserve">2110</t>
  </si>
  <si>
    <t xml:space="preserve">Nonpressurized containers— unspecified</t>
  </si>
  <si>
    <t xml:space="preserve">2114, 332, 3325</t>
  </si>
  <si>
    <t xml:space="preserve">Hot fryer oil melted through plastic bucket and spilled on legs and feet; first- and second-degree burns (highest degree coded). Hot-oil splash is contact with hot substance (Event 326 excludes).</t>
  </si>
  <si>
    <t xml:space="preserve">Part of body: Legs and feet are named; 5829 supported over unspecified. | Secondary source: Narrative states a plastic bucket; 2113 supported.</t>
  </si>
  <si>
    <t xml:space="preserve">20241110646</t>
  </si>
  <si>
    <t xml:space="preserve">2024-11-15</t>
  </si>
  <si>
    <t xml:space="preserve">An employee was performing quality control checks on a conveyor. They grabbed a tray on the conveyor and the conveyor contacted their hand, resulting in an abrasion.</t>
  </si>
  <si>
    <t xml:space="preserve">3410</t>
  </si>
  <si>
    <t xml:space="preserve">Conveyors — unspecified</t>
  </si>
  <si>
    <t xml:space="preserve">653, 659</t>
  </si>
  <si>
    <t xml:space="preserve">Conveyors— unspecified</t>
  </si>
  <si>
    <t xml:space="preserve">341, 3412, 3414</t>
  </si>
  <si>
    <t xml:space="preserve">Conveyor contacted hand while grabbing a tray: abrasion. Conveyor type not stated.</t>
  </si>
  <si>
    <t xml:space="preserve">Event/Exposure: Conveyor contacting hand: 653 vs 650.</t>
  </si>
  <si>
    <t xml:space="preserve">20241211081</t>
  </si>
  <si>
    <t xml:space="preserve">2024-12-02</t>
  </si>
  <si>
    <t xml:space="preserve">An employee was performing maintenance on a field light for a football field. The employee was descending the light pole when the lifeline broke and he fell approximately 22 feet to the grass below. The employee sustained a fractured left arm and a punctured lung.</t>
  </si>
  <si>
    <t xml:space="preserve">9222</t>
  </si>
  <si>
    <t xml:space="preserve">Fall protection equipment</t>
  </si>
  <si>
    <t xml:space="preserve">80, 84, 88</t>
  </si>
  <si>
    <t xml:space="preserve">4142, 419, 4122</t>
  </si>
  <si>
    <t xml:space="preserve">6350</t>
  </si>
  <si>
    <t xml:space="preserve">Towers, poles— unspecified</t>
  </si>
  <si>
    <t xml:space="preserve">6353, 6359, 635</t>
  </si>
  <si>
    <t xml:space="preserve">4423</t>
  </si>
  <si>
    <t xml:space="preserve">Rope, twine, string</t>
  </si>
  <si>
    <t xml:space="preserve">4420, 931, 922</t>
  </si>
  <si>
    <t xml:space="preserve">Lifeline broke while descending light pole, fall about 22 ft; fractured arm plus punctured lung. Equipment failure during fall.</t>
  </si>
  <si>
    <t xml:space="preserve">Part of body: Arm fracture and punctured lung: single lung code vs multi-part code. | Event/Exposure: 22 ft fall after lifeline failure: 4142 vs 4112 (collapsing equipment). | Source: Manual 6352 includes area-lighting poles; supported. | Secondary source: Lifeline is fall-protection equipment (9222).</t>
  </si>
  <si>
    <t xml:space="preserve">20241110663</t>
  </si>
  <si>
    <t xml:space="preserve">An employee was manning a water pump when a vehicle came through the barriers and struck the employee. The employee fell to the ground and sustained a head trauma.</t>
  </si>
  <si>
    <t xml:space="preserve">2512</t>
  </si>
  <si>
    <t xml:space="preserve">Pedestrian struck by forward-moving vehicle in road work zone</t>
  </si>
  <si>
    <t xml:space="preserve">110, 1110, 1113, 134</t>
  </si>
  <si>
    <t xml:space="preserve">2500</t>
  </si>
  <si>
    <t xml:space="preserve">Pedestrian struck by vehicle— unspecified</t>
  </si>
  <si>
    <t xml:space="preserve">2510, 2520, 2530, 2501, 2502</t>
  </si>
  <si>
    <t xml:space="preserve">Roadway vehicle— motorized, unspecified</t>
  </si>
  <si>
    <t xml:space="preserve">80, 84, 843, 844</t>
  </si>
  <si>
    <t xml:space="preserve">6331</t>
  </si>
  <si>
    <t xml:space="preserve">Guardrails, road dividers or barriers</t>
  </si>
  <si>
    <t xml:space="preserve">6330, 991</t>
  </si>
  <si>
    <t xml:space="preserve">Vehicle came through barriers and struck worker manning a water pump; 'head trauma' only; roadway vs non-roadway location not stated.</t>
  </si>
  <si>
    <t xml:space="preserve">Nature: 'Head trauma' alone does not support 1110 intracranial injury. | Part of body: Recorded brain (111); narrative says 'head trauma'. | Event/Exposure: Work-zone qualifier not stated; 2512 vs 2500. | Secondary source: Barriers as secondary source optional.</t>
  </si>
  <si>
    <t xml:space="preserve">2024087785</t>
  </si>
  <si>
    <t xml:space="preserve">2024-08-23</t>
  </si>
  <si>
    <t xml:space="preserve">An employee was debugging/troubleshooting the teach sensor on a load-handling device (LHD) inside of a cell. The LHD unexpectedly moved to the home location and struck the employee on their head. The employee sustained a head injury, an aspiration-induced lung injury, and fractures to his lower back and right ankle.</t>
  </si>
  <si>
    <t xml:space="preserve">181, 1811, 189</t>
  </si>
  <si>
    <t xml:space="preserve">88, 81, 882</t>
  </si>
  <si>
    <t xml:space="preserve">650, 651</t>
  </si>
  <si>
    <t xml:space="preserve">349, 3479</t>
  </si>
  <si>
    <t xml:space="preserve">933</t>
  </si>
  <si>
    <t xml:space="preserve">Autonomous or robotic system failure</t>
  </si>
  <si>
    <t xml:space="preserve">991, 941</t>
  </si>
  <si>
    <t xml:space="preserve">Load-handling device unexpectedly moved while worker troubleshot a sensor; head injury, aspiration-induced lung injury and fractures -&gt; multiple traumatic injuries.</t>
  </si>
  <si>
    <t xml:space="preserve">Nature: Head injury, lung injury and fractures: multiple natures. | Part of body: Head, lung, lower back, ankle: multiple parts; 899 supported. | Source: Load-handling device: elevators/hoists vs material handling machinery. | Secondary source: Autonomous/robotic failure as secondary source optional.</t>
  </si>
  <si>
    <t xml:space="preserve">2024043440</t>
  </si>
  <si>
    <t xml:space="preserve">2024-04-19</t>
  </si>
  <si>
    <t xml:space="preserve">An employee was taking down a railing on a hot water quench tank when he fell into the tank and contacted the hot water, resulting in burns to both knees.</t>
  </si>
  <si>
    <t xml:space="preserve">4131</t>
  </si>
  <si>
    <t xml:space="preserve">Fall to lower level resulting in exposure or contact — less than 6 feet</t>
  </si>
  <si>
    <t xml:space="preserve">2115</t>
  </si>
  <si>
    <t xml:space="preserve">Tanks, bins, vats — except confined space</t>
  </si>
  <si>
    <t xml:space="preserve">Water, liquids nonchemical</t>
  </si>
  <si>
    <t xml:space="preserve">1522, 1521, 1590</t>
  </si>
  <si>
    <t xml:space="preserve">4130</t>
  </si>
  <si>
    <t xml:space="preserve">Fall to lower level resulting in exposure or contact— unspecified</t>
  </si>
  <si>
    <t xml:space="preserve">4131, 4132, 533, 414</t>
  </si>
  <si>
    <t xml:space="preserve">Tanks, bins, vats— except confined space</t>
  </si>
  <si>
    <t xml:space="preserve">657</t>
  </si>
  <si>
    <t xml:space="preserve">4150, 4151</t>
  </si>
  <si>
    <t xml:space="preserve">Fell into hot water tank while removing railing: knee burns. Fall resulting in exposure/contact; height not stated.</t>
  </si>
  <si>
    <t xml:space="preserve">Event/Exposure: Fall height is not stated; &lt;6 ft (4131) cannot be confirmed.</t>
  </si>
  <si>
    <t xml:space="preserve">2024087848</t>
  </si>
  <si>
    <t xml:space="preserve">2024-08-25</t>
  </si>
  <si>
    <t xml:space="preserve">An employee was backing up a tractor when it struck a dead tree, causing a tree limb to fall and strike the employee's head. The employee sustained facial lacerations and head trauma.</t>
  </si>
  <si>
    <t xml:space="preserve">863</t>
  </si>
  <si>
    <t xml:space="preserve">Agricultural tractors</t>
  </si>
  <si>
    <t xml:space="preserve">100, 138, 1831, 180</t>
  </si>
  <si>
    <t xml:space="preserve">10, 12, 125</t>
  </si>
  <si>
    <t xml:space="preserve">2721</t>
  </si>
  <si>
    <t xml:space="preserve">Vehicle struck by falling or flying object(s), nonroadway</t>
  </si>
  <si>
    <t xml:space="preserve">2723, 6439, 643</t>
  </si>
  <si>
    <t xml:space="preserve">86, 860</t>
  </si>
  <si>
    <t xml:space="preserve">5460, 5469, 546</t>
  </si>
  <si>
    <t xml:space="preserve">Tractor backed into dead tree; limb fell and struck head: vehicle struck by falling object, nonroadway. Facial lacerations plus unspecified head trauma.</t>
  </si>
  <si>
    <t xml:space="preserve">Nature: Facial lacerations and head trauma are multiple natures; 180 supported. | Event/Exposure: Tractor struck tree and limb fell on worker: collision (2723) vs vehicle struck by falling object (2721).</t>
  </si>
  <si>
    <t xml:space="preserve">20241110316</t>
  </si>
  <si>
    <t xml:space="preserve">2024-11-05</t>
  </si>
  <si>
    <t xml:space="preserve">An employee was putting out road barrels for traffic control and standing on the lift gate of a traffic truck with a driver in the driver's seat. The truck was struck from behind by a tractor trailer and the employee was thrown to the ground. The driver of the truck sustained injuries and was not hospitalized. The employee was hospitalized with a laceration to the head and a concussion, as well as a fractured femur that required surgery.</t>
  </si>
  <si>
    <t xml:space="preserve">2612</t>
  </si>
  <si>
    <t xml:space="preserve">Roadway collision with other vehicle(s) moving in same direction</t>
  </si>
  <si>
    <t xml:space="preserve">Trucks — unspecified</t>
  </si>
  <si>
    <t xml:space="preserve">8434</t>
  </si>
  <si>
    <t xml:space="preserve">Other semi, tractor-trailer</t>
  </si>
  <si>
    <t xml:space="preserve">181, 1823, 1113, 124</t>
  </si>
  <si>
    <t xml:space="preserve">2614</t>
  </si>
  <si>
    <t xml:space="preserve">Roadway collision with other vehicle(s)—moving and standing vehicle</t>
  </si>
  <si>
    <t xml:space="preserve">261, 2610, 251, 2632, 2633</t>
  </si>
  <si>
    <t xml:space="preserve">8420</t>
  </si>
  <si>
    <t xml:space="preserve">Trucks with mounted machines, equipment— unspecified</t>
  </si>
  <si>
    <t xml:space="preserve">843, 84</t>
  </si>
  <si>
    <t xml:space="preserve">843, 8430</t>
  </si>
  <si>
    <t xml:space="preserve">Traffic truck (standing) struck from behind by a tractor trailer; worker on lift gate thrown to ground: concussion, head laceration, femur fracture. Occupant vs pedestrian classification is a judgment call.</t>
  </si>
  <si>
    <t xml:space="preserve">Event/Exposure: Truck struck from behind: 2612 vs 2614 depends on whether the truck was moving or stopped. | Source: Narrative mentions a lift gate; recorded 8430 is less specific than a truck with mounted equipment (8420).</t>
  </si>
  <si>
    <t xml:space="preserve">2024021346</t>
  </si>
  <si>
    <t xml:space="preserve">2024-02-12</t>
  </si>
  <si>
    <t xml:space="preserve">An employee was serving food when steam from the food caused the employee to go into respiratory arrest and cardiac arrest due to a food allergy.</t>
  </si>
  <si>
    <t xml:space="preserve">169</t>
  </si>
  <si>
    <t xml:space="preserve">Effects of poison, toxic, or allergenic exposure — n.e.c.</t>
  </si>
  <si>
    <t xml:space="preserve">4151</t>
  </si>
  <si>
    <t xml:space="preserve">Steam, vapors nonchemical</t>
  </si>
  <si>
    <t xml:space="preserve">5220</t>
  </si>
  <si>
    <t xml:space="preserve">Food products — unspecified</t>
  </si>
  <si>
    <t xml:space="preserve">2914, 161</t>
  </si>
  <si>
    <t xml:space="preserve">5530, 553, 559</t>
  </si>
  <si>
    <t xml:space="preserve">Food products— unspecified</t>
  </si>
  <si>
    <t xml:space="preserve">5229</t>
  </si>
  <si>
    <t xml:space="preserve">Steam from food triggered respiratory and cardiac arrest from food allergy: anaphylaxis; route (inhalation of allergen in steam) inferred from text.</t>
  </si>
  <si>
    <t xml:space="preserve">Nature: Allergic reaction with arrest: anaphylaxis (162) not named; 169 defensible. | Source: Steam vs food: narrative supports both. | Secondary source: Swap of source/secondary source for the same two items.</t>
  </si>
  <si>
    <t xml:space="preserve">2024021811</t>
  </si>
  <si>
    <t xml:space="preserve">2024-02-28</t>
  </si>
  <si>
    <t xml:space="preserve">An employee was leaving a work site on a barge due to adverse weather conditions. While on their way back to shore in a small boat, the boat went up a large swell and when it came back down, it went bow first into another swell and was immediately swamped. All the boat passengers fell into the river water, which was approximately 49.8  Fahrenheit. One employee was hospitalized with hypothermia.</t>
  </si>
  <si>
    <t xml:space="preserve">1712</t>
  </si>
  <si>
    <t xml:space="preserve">Hypothermia</t>
  </si>
  <si>
    <t xml:space="preserve">223</t>
  </si>
  <si>
    <t xml:space="preserve">Capsized or sinking water vehicle (non collision)</t>
  </si>
  <si>
    <t xml:space="preserve">835</t>
  </si>
  <si>
    <t xml:space="preserve">Motorboat, motorized yacht</t>
  </si>
  <si>
    <t xml:space="preserve">9527</t>
  </si>
  <si>
    <t xml:space="preserve">Waves, surges, rough seas</t>
  </si>
  <si>
    <t xml:space="preserve">1710, 171</t>
  </si>
  <si>
    <t xml:space="preserve">2220, 222, 5322, 532, 2242</t>
  </si>
  <si>
    <t xml:space="preserve">830</t>
  </si>
  <si>
    <t xml:space="preserve">Water vehicle— unspecified</t>
  </si>
  <si>
    <t xml:space="preserve">835, 837, 839</t>
  </si>
  <si>
    <t xml:space="preserve">672</t>
  </si>
  <si>
    <t xml:space="preserve">Rivers, streams</t>
  </si>
  <si>
    <t xml:space="preserve">954, 952</t>
  </si>
  <si>
    <t xml:space="preserve">Small boat swamped, passengers fell into cold river; hypothermia. Water vehicle capsized/sinking (non-collision); vehicle type not stated.</t>
  </si>
  <si>
    <t xml:space="preserve">Source: Narrative says 'small boat'; motorboat not stated. | Secondary source: Swell/waves are stated; 9527 supported.</t>
  </si>
  <si>
    <t xml:space="preserve">2024043268</t>
  </si>
  <si>
    <t xml:space="preserve">2024-04-15</t>
  </si>
  <si>
    <t xml:space="preserve">An employee was loading something into their truck while at a truck stop when they slipped on the truck steps and fell. The employee's head struck a metal phone box and their back struck a concrete block. The employee suffered a head contusion and was hospitalized.</t>
  </si>
  <si>
    <t xml:space="preserve">Head — unspecified</t>
  </si>
  <si>
    <t xml:space="preserve">7511</t>
  </si>
  <si>
    <t xml:space="preserve">Phones, communication devices — wired and wireless</t>
  </si>
  <si>
    <t xml:space="preserve">100, 138</t>
  </si>
  <si>
    <t xml:space="preserve">18, 12</t>
  </si>
  <si>
    <t xml:space="preserve">4140, 4141, 4311, 4312</t>
  </si>
  <si>
    <t xml:space="preserve">8431, 4720, 472</t>
  </si>
  <si>
    <t xml:space="preserve">639</t>
  </si>
  <si>
    <t xml:space="preserve">Slipped on truck steps and fell; head contusion. Event 42 includes slips while boarding/alighting vehicles. Body part limited to 'head'.</t>
  </si>
  <si>
    <t xml:space="preserve">Event/Exposure: Slipped on truck steps and fell: 4131 vs 42. | Secondary source: Narrative says head struck a metal phone box; 7511 supported.</t>
  </si>
  <si>
    <t xml:space="preserve">2024010575</t>
  </si>
  <si>
    <t xml:space="preserve">2024-01-19</t>
  </si>
  <si>
    <t xml:space="preserve">An employee was bending over to gather product when they were struck by a forklift as it began to move. The employee fell onto a pallet and suffered a contusion that required hospitalization.</t>
  </si>
  <si>
    <t xml:space="preserve">Worker bending over was struck by a forklift as it began to move, fell onto pallet; contusion of unspecified site.</t>
  </si>
  <si>
    <t xml:space="preserve">2024010559</t>
  </si>
  <si>
    <t xml:space="preserve">On January 18, 2024, at 11:15 AM, an employee was delivering feed to a chicken farm when their truck became stuck in snow and ice. The employee manually dug out the snow from around the tires, applied tire chains, and was able to drive to the main road. At the main road the employee removed the chains and drove to the mill. Upon arrival at the mill and walking to the office, the employee experienced chest pain and was hospitalized for a heart attack.</t>
  </si>
  <si>
    <t xml:space="preserve">2331</t>
  </si>
  <si>
    <t xml:space="preserve">Myocardial infarction, heart attack</t>
  </si>
  <si>
    <t xml:space="preserve">3131</t>
  </si>
  <si>
    <t xml:space="preserve">Heart</t>
  </si>
  <si>
    <t xml:space="preserve">Overexertion while moving or manipulating external object(s) — unspecified</t>
  </si>
  <si>
    <t xml:space="preserve">233, 2330</t>
  </si>
  <si>
    <t xml:space="preserve">313, 6</t>
  </si>
  <si>
    <t xml:space="preserve">Overexertion while moving or manipulating external object(s)— unspecified</t>
  </si>
  <si>
    <t xml:space="preserve">712, 714, 719, 74, 5322, 532</t>
  </si>
  <si>
    <t xml:space="preserve">4153</t>
  </si>
  <si>
    <t xml:space="preserve">Heart attack after digging snow from tires and applying chains; relation to work activity is plausible but not established; event and source are low-confidence.</t>
  </si>
  <si>
    <t xml:space="preserve">2024109397</t>
  </si>
  <si>
    <t xml:space="preserve">2024-10-08</t>
  </si>
  <si>
    <t xml:space="preserve">An employee was walking to his car when he tripped over a board that was secured to the floor of the dock area. His left knee struck the cement dock. The employee was hospitalized and required surgery to repair a broken knee.</t>
  </si>
  <si>
    <t xml:space="preserve">6121</t>
  </si>
  <si>
    <t xml:space="preserve">Damage to replaced joints</t>
  </si>
  <si>
    <t xml:space="preserve">658</t>
  </si>
  <si>
    <t xml:space="preserve">Loading docks, dock plates</t>
  </si>
  <si>
    <t xml:space="preserve">6623</t>
  </si>
  <si>
    <t xml:space="preserve">Constructed surface irregularity</t>
  </si>
  <si>
    <t xml:space="preserve">4311, 431, 4310</t>
  </si>
  <si>
    <t xml:space="preserve">Tripped over a board secured to dock floor; knee struck the dock: fall on same level due to trip; broken knee.</t>
  </si>
  <si>
    <t xml:space="preserve">Nature: Recorded 'damage to replaced joints' is not supported by a narrative describing a fracture of the knee after a trip.</t>
  </si>
  <si>
    <t xml:space="preserve">2024109571</t>
  </si>
  <si>
    <t xml:space="preserve">2024-10-14</t>
  </si>
  <si>
    <t xml:space="preserve">An employee was sanding a shaft on a metal lathe. The lathe caught the employee's glove and pulled their hand into the machine, resulting in crushing injuries to their hand and finger. The employee was hospitalized.</t>
  </si>
  <si>
    <t xml:space="preserve">124, 1220, 1222</t>
  </si>
  <si>
    <t xml:space="preserve">440, 441, 442</t>
  </si>
  <si>
    <t xml:space="preserve">353</t>
  </si>
  <si>
    <t xml:space="preserve">Lathe caught the worker's glove and pulled hand in: crushing injuries of hand and finger; lathe source, glove as secondary (PPE).</t>
  </si>
  <si>
    <t xml:space="preserve">2024031897</t>
  </si>
  <si>
    <t xml:space="preserve">An employee was transferring a chemical from a larger tote through a pumping system into a drum. When the chemical (a catalyst instead of the intended binder chemical) was pumped into the drum, a chemical reaction occurred and the barrel combusted. The employee suffered first-degree chemical burns to the face and second-degree chemical burns to the left forearm, back, and head.</t>
  </si>
  <si>
    <t xml:space="preserve">1512</t>
  </si>
  <si>
    <t xml:space="preserve">Chemical burns, corrosions — second degree</t>
  </si>
  <si>
    <t xml:space="preserve">Explosions and fires — unspecified</t>
  </si>
  <si>
    <t xml:space="preserve">2114</t>
  </si>
  <si>
    <t xml:space="preserve">Barrels, drums, cans — nonpressurized</t>
  </si>
  <si>
    <t xml:space="preserve">Chemical burns, corrosions— second degree</t>
  </si>
  <si>
    <t xml:space="preserve">1510, 1511, 1513, 1591, 1592</t>
  </si>
  <si>
    <t xml:space="preserve">319, 325, 314, 5559</t>
  </si>
  <si>
    <t xml:space="preserve">Barrels, drums, cans— nonpressurized</t>
  </si>
  <si>
    <t xml:space="preserve">211, 2110</t>
  </si>
  <si>
    <t xml:space="preserve">Chemicals and hazardous materials— unspecified</t>
  </si>
  <si>
    <t xml:space="preserve">160, 169, 990</t>
  </si>
  <si>
    <t xml:space="preserve">Wrong chemical pumped into drum: reaction and combustion; first- and second-degree chemical burns to face, forearm, back, head. Fire vs explosion vs chemical exposure not clearly stated.</t>
  </si>
  <si>
    <t xml:space="preserve">Part of body: Multiple listed parts; 899 supported. | Event/Exposure: Chemical reaction causing combustion supports a fire/explosion specific code; recorded 30 is less specific.</t>
  </si>
  <si>
    <t xml:space="preserve">2024087369</t>
  </si>
  <si>
    <t xml:space="preserve">2024-08-12</t>
  </si>
  <si>
    <t xml:space="preserve">An employee was on the second level of a mushroom house and nailing a crosspiece of wood to support a mushroom bed when the 2x6 stringer that holds up the 3-foot wide walkway broke and the employee fell to the ground level. The employee sustained two fractured ribs.</t>
  </si>
  <si>
    <t xml:space="preserve">4110</t>
  </si>
  <si>
    <t xml:space="preserve">Fall to lower level from collapsing structure or equipment — unspecified</t>
  </si>
  <si>
    <t xml:space="preserve">6344</t>
  </si>
  <si>
    <t xml:space="preserve">Catwalks</t>
  </si>
  <si>
    <t xml:space="preserve">60</t>
  </si>
  <si>
    <t xml:space="preserve">Structures and surfaces — unspecified</t>
  </si>
  <si>
    <t xml:space="preserve">311, 31</t>
  </si>
  <si>
    <t xml:space="preserve">Fall to lower level from collapsing structure or equipment— unspecified</t>
  </si>
  <si>
    <t xml:space="preserve">4112, 411, 634</t>
  </si>
  <si>
    <t xml:space="preserve">625</t>
  </si>
  <si>
    <t xml:space="preserve">Agricultural building— except silos</t>
  </si>
  <si>
    <t xml:space="preserve">634, 659</t>
  </si>
  <si>
    <t xml:space="preserve">656</t>
  </si>
  <si>
    <t xml:space="preserve">Trusses, girders, beams—structurally attached</t>
  </si>
  <si>
    <t xml:space="preserve">663, 990</t>
  </si>
  <si>
    <t xml:space="preserve">Stringer supporting a walkway in agricultural building broke; fall to ground level from second level; fractured ribs. Fall height not stated.</t>
  </si>
  <si>
    <t xml:space="preserve">Source: Walkway that broke is a catwalk-type structure; 6344 supported. | Secondary source: Optional secondary source.</t>
  </si>
  <si>
    <t xml:space="preserve">2024076694</t>
  </si>
  <si>
    <t xml:space="preserve">An employee was cutting an 8-inch water pipe when the demolition saw blade became wedged. The employee was freeing the blade when they fell and sustained a severe laceration to their face.</t>
  </si>
  <si>
    <t xml:space="preserve">126, 125, 127</t>
  </si>
  <si>
    <t xml:space="preserve">430</t>
  </si>
  <si>
    <t xml:space="preserve">Slip, trip, stumble or fall on same level— fall unspecified</t>
  </si>
  <si>
    <t xml:space="preserve">4311, 4312, 652, 650</t>
  </si>
  <si>
    <t xml:space="preserve">3550, 7122</t>
  </si>
  <si>
    <t xml:space="preserve">Fell while freeing a wedged saw blade; face laceration. Cannot tell whether the saw or the ground caused the cut, so event and source cannot be assigned.</t>
  </si>
  <si>
    <t xml:space="preserve">Event/Exposure: Blind coder flagged this field inconclusive; narrative does not give enough detail. | Secondary source: Demolition saw is stated; 7122 supported.</t>
  </si>
  <si>
    <t xml:space="preserve">2024053892</t>
  </si>
  <si>
    <t xml:space="preserve">An employee was working on the roof of a one-story residence when he fell approximately 10 feet to the ground. He lost consciousness and sustained a concussion and fracture near the tailbone. The employee was hospitalized.</t>
  </si>
  <si>
    <t xml:space="preserve">6532</t>
  </si>
  <si>
    <t xml:space="preserve">Roof surface</t>
  </si>
  <si>
    <t xml:space="preserve">181, 1113, 124</t>
  </si>
  <si>
    <t xml:space="preserve">80, 81, 882</t>
  </si>
  <si>
    <t xml:space="preserve">414, 4122, 4112, 4132</t>
  </si>
  <si>
    <t xml:space="preserve">623, 6530, 653</t>
  </si>
  <si>
    <t xml:space="preserve">6636</t>
  </si>
  <si>
    <t xml:space="preserve">Ground</t>
  </si>
  <si>
    <t xml:space="preserve">660, 990, 991</t>
  </si>
  <si>
    <t xml:space="preserve">Fell about 10 ft from roof, lost consciousness; concussion plus fracture near tailbone -&gt; brain plus severe wound/fracture.</t>
  </si>
  <si>
    <t xml:space="preserve">Secondary source: Ground surface is stated; recorded 660 is less specific than 6636.</t>
  </si>
  <si>
    <t xml:space="preserve">20241211458</t>
  </si>
  <si>
    <t xml:space="preserve">2024-12-11</t>
  </si>
  <si>
    <t xml:space="preserve">An employee was walking along an area of ground to survey the location for the replacement of cable and equipment. They tripped on an area of loose soil near the pad mounted electrical distribution cabinet and contacted it. The cabinet was open and exposing interior switches. The employee received burns to both hands and wrists. The employee also went into cardiopulmonary arrest.</t>
  </si>
  <si>
    <t xml:space="preserve">1538</t>
  </si>
  <si>
    <t xml:space="preserve">Electrical burns and electrocution</t>
  </si>
  <si>
    <t xml:space="preserve">1531, 153, 1532</t>
  </si>
  <si>
    <t xml:space="preserve">482, 6</t>
  </si>
  <si>
    <t xml:space="preserve">511, 4312, 5111, 512</t>
  </si>
  <si>
    <t xml:space="preserve">660, 662</t>
  </si>
  <si>
    <t xml:space="preserve">643</t>
  </si>
  <si>
    <t xml:space="preserve">Electrical systems</t>
  </si>
  <si>
    <t xml:space="preserve">461, 4610</t>
  </si>
  <si>
    <t xml:space="preserve">Tripped on loose soil and contacted open electrical cabinet: burns to hands/wrists and cardiopulmonary arrest. Fall resulting in contact vs direct electrical exposure.</t>
  </si>
  <si>
    <t xml:space="preserve">Secondary source: Narrative states contact with an open electrical cabinet; 4615 supported.</t>
  </si>
  <si>
    <t xml:space="preserve">20241211372</t>
  </si>
  <si>
    <t xml:space="preserve">2024-12-09</t>
  </si>
  <si>
    <t xml:space="preserve">An employee was climbing down a ladder when he slipped and fell to the ground. The employee sustained broken ribs and a lacerated spleen.</t>
  </si>
  <si>
    <t xml:space="preserve">3112, 310, 33, 338</t>
  </si>
  <si>
    <t xml:space="preserve">42, 4141, 4142, 410</t>
  </si>
  <si>
    <t xml:space="preserve">990, 663, 991</t>
  </si>
  <si>
    <t xml:space="preserve">Slipped on ladder and fell to ground; broken ribs and lacerated spleen -&gt; closed trauma to internal organs. Height and ladder type not stated.</t>
  </si>
  <si>
    <t xml:space="preserve">Nature: Fractured ribs plus lacerated spleen: multiple severe wounds/internal injuries (128) supported. | Secondary source: Ground vs other constructed surface; narrative says 'the ground'.</t>
  </si>
  <si>
    <t xml:space="preserve">Agreement summary (live formulas over the "Sample review" sheet)</t>
  </si>
  <si>
    <t xml:space="preserve">Field</t>
  </si>
  <si>
    <t xml:space="preserve">Reviewed</t>
  </si>
  <si>
    <t xml:space="preserve">Inconclusive at blind stage</t>
  </si>
  <si>
    <t xml:space="preserve">Eligible (reviewed minus inconclusive)</t>
  </si>
  <si>
    <t xml:space="preserve">Exact agreement (among eligible)</t>
  </si>
  <si>
    <t xml:space="preserve">Exact agreement %</t>
  </si>
  <si>
    <t xml:space="preserve">Fields in category: Exact</t>
  </si>
  <si>
    <t xml:space="preserve">Insufficient information (all reasons)</t>
  </si>
  <si>
    <t xml:space="preserve">Check: categories sum to reviewed</t>
  </si>
  <si>
    <t xml:space="preserve">Nature</t>
  </si>
  <si>
    <t xml:space="preserve">Part of body</t>
  </si>
  <si>
    <t xml:space="preserve">Event/Exposure</t>
  </si>
  <si>
    <t xml:space="preserve">Source</t>
  </si>
  <si>
    <t xml:space="preserve">Secondary source</t>
  </si>
  <si>
    <t xml:space="preserve">How to read this: columns C-F use the blind-stage denominator (fields I judged inconclusive are removed before computing exact agreement) and match results/r01_agreement_by_field.csv. Columns G-L place every one of the 100 fields in exactly one category after adjudication, so they sum to 100. "Insufficient information" in column L covers blind-stage inconclusive fields plus differing fields where the narrative could not support or refute the recorded code. The SQL script sql/03_classification_audit.sql is the reference calculation.</t>
  </si>
  <si>
    <t xml:space="preserve">Item</t>
  </si>
  <si>
    <t xml:space="preserve">Meaning</t>
  </si>
  <si>
    <t xml:space="preserve">Recorded code</t>
  </si>
  <si>
    <t xml:space="preserve">Code recorded for the incident in the OSHA Severe Injury Report (SIR) dataset, 2024 incidents.</t>
  </si>
  <si>
    <t xml:space="preserve">My code</t>
  </si>
  <si>
    <t xml:space="preserve">Code I assigned independently from the final narrative alone, using the OIICS Version 3.03 manual (May 2026), before looking at the recorded codes.</t>
  </si>
  <si>
    <t xml:space="preserve">My acceptable alternates</t>
  </si>
  <si>
    <t xml:space="preserve">Other codes I considered defensible for the same narrative; written down at the blind stage.</t>
  </si>
  <si>
    <t xml:space="preserve">Recorded code identical to my code.</t>
  </si>
  <si>
    <t xml:space="preserve">Codes differ, but on re-reading the narrative and manual the recorded code is supported (my first proposal was less accurate or less specific).</t>
  </si>
  <si>
    <t xml:space="preserve">Codes differ, but both are defensible under the OIICS 3.03 rules (for example order of precedence, multiple-injury rules, whole vs part).</t>
  </si>
  <si>
    <t xml:space="preserve">Recorded code is less specific than the narrative supports. A potential discrepancy, not an error: the original coder may have had fuller information than the final narrative.</t>
  </si>
  <si>
    <t xml:space="preserve">Recorded code appears to conflict with the narrative content or with manual guidance. Still only a potential discrepancy.</t>
  </si>
  <si>
    <t xml:space="preserve">The narrative does not give enough detail to judge, or I flagged the field inconclusive at the blind stage.</t>
  </si>
  <si>
    <t xml:space="preserve">Important</t>
  </si>
  <si>
    <t xml:space="preserve">This is a retrospective comparison: OSHA coded 2024 incidents with OIICS 3.0; this review uses the later 3.03 manual. Differences are potential discrepancies for review, never automatic errors.</t>
  </si>
</sst>
</file>

<file path=xl/styles.xml><?xml version="1.0" encoding="utf-8"?>
<styleSheet xmlns="http://schemas.openxmlformats.org/spreadsheetml/2006/main">
  <numFmts count="4">
    <numFmt numFmtId="164" formatCode="General"/>
    <numFmt numFmtId="165" formatCode="@"/>
    <numFmt numFmtId="166" formatCode="0.0%"/>
    <numFmt numFmtId="167"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Calibri"/>
      <family val="0"/>
      <charset val="1"/>
    </font>
    <font>
      <sz val="10"/>
      <name val="Calibri"/>
      <family val="0"/>
      <charset val="1"/>
    </font>
    <font>
      <b val="true"/>
      <sz val="12"/>
      <name val="Cambria"/>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F0D9"/>
          <bgColor rgb="FF000000"/>
        </patternFill>
      </fill>
    </dxf>
    <dxf>
      <fill>
        <patternFill patternType="solid">
          <fgColor rgb="FFEDEDED"/>
          <bgColor rgb="FF000000"/>
        </patternFill>
      </fill>
    </dxf>
    <dxf>
      <fill>
        <patternFill patternType="solid">
          <fgColor rgb="FFF8CBAD"/>
          <bgColor rgb="FF000000"/>
        </patternFill>
      </fill>
    </dxf>
    <dxf>
      <fill>
        <patternFill>
          <bgColor rgb="FFE2F0D9"/>
        </patternFill>
      </fill>
    </dxf>
    <dxf>
      <fill>
        <patternFill>
          <bgColor rgb="FFF8CBAD"/>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4" min="3" style="0" width="11"/>
    <col collapsed="false" customWidth="true" hidden="false" outlineLevel="0" max="5" min="5" style="0" width="60"/>
    <col collapsed="false" customWidth="true" hidden="false" outlineLevel="0" max="6" min="6" style="0" width="16"/>
    <col collapsed="false" customWidth="true" hidden="false" outlineLevel="0" max="7" min="7" style="0" width="30"/>
    <col collapsed="false" customWidth="true" hidden="false" outlineLevel="0" max="8" min="8" style="0" width="16"/>
    <col collapsed="false" customWidth="true" hidden="false" outlineLevel="0" max="9" min="9" style="0" width="30"/>
    <col collapsed="false" customWidth="true" hidden="false" outlineLevel="0" max="10" min="10" style="0" width="16"/>
    <col collapsed="false" customWidth="true" hidden="false" outlineLevel="0" max="11" min="11" style="0" width="30"/>
    <col collapsed="false" customWidth="true" hidden="false" outlineLevel="0" max="12" min="12" style="0" width="16"/>
    <col collapsed="false" customWidth="true" hidden="false" outlineLevel="0" max="13" min="13" style="0" width="30"/>
    <col collapsed="false" customWidth="true" hidden="false" outlineLevel="0" max="14" min="14" style="0" width="16"/>
    <col collapsed="false" customWidth="true" hidden="false" outlineLevel="0" max="15" min="15" style="0" width="30"/>
    <col collapsed="false" customWidth="true" hidden="false" outlineLevel="0" max="16" min="16" style="0" width="16"/>
    <col collapsed="false" customWidth="true" hidden="false" outlineLevel="0" max="17" min="17" style="0" width="30"/>
    <col collapsed="false" customWidth="true" hidden="false" outlineLevel="0" max="18" min="18" style="0" width="18"/>
    <col collapsed="false" customWidth="true" hidden="false" outlineLevel="0" max="19" min="19" style="0" width="16"/>
    <col collapsed="false" customWidth="true" hidden="false" outlineLevel="0" max="20" min="20" style="0" width="30"/>
    <col collapsed="false" customWidth="true" hidden="false" outlineLevel="0" max="21" min="21" style="0" width="18"/>
    <col collapsed="false" customWidth="true" hidden="false" outlineLevel="0" max="22" min="22" style="0" width="16"/>
    <col collapsed="false" customWidth="true" hidden="false" outlineLevel="0" max="23" min="23" style="0" width="30"/>
    <col collapsed="false" customWidth="true" hidden="false" outlineLevel="0" max="24" min="24" style="0" width="18"/>
    <col collapsed="false" customWidth="true" hidden="false" outlineLevel="0" max="25" min="25" style="0" width="16"/>
    <col collapsed="false" customWidth="true" hidden="false" outlineLevel="0" max="26" min="26" style="0" width="30"/>
    <col collapsed="false" customWidth="true" hidden="false" outlineLevel="0" max="27" min="27" style="0" width="18"/>
    <col collapsed="false" customWidth="true" hidden="false" outlineLevel="0" max="28" min="28" style="0" width="16"/>
    <col collapsed="false" customWidth="true" hidden="false" outlineLevel="0" max="29" min="29" style="0" width="30"/>
    <col collapsed="false" customWidth="true" hidden="false" outlineLevel="0" max="30" min="30" style="0" width="18"/>
    <col collapsed="false" customWidth="true" hidden="false" outlineLevel="0" max="35" min="31" style="0" width="26"/>
    <col collapsed="false" customWidth="true" hidden="false" outlineLevel="0" max="37" min="36" style="0" width="16"/>
    <col collapsed="false" customWidth="true" hidden="false" outlineLevel="0" max="39" min="38" style="0" width="70"/>
  </cols>
  <sheetData>
    <row r="1" customFormat="false" ht="4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customFormat="false" ht="35.05" hidden="false" customHeight="false" outlineLevel="0" collapsed="false">
      <c r="A2" s="2" t="n">
        <v>1</v>
      </c>
      <c r="B2" s="3" t="s">
        <v>39</v>
      </c>
      <c r="C2" s="2" t="s">
        <v>40</v>
      </c>
      <c r="D2" s="2" t="s">
        <v>41</v>
      </c>
      <c r="E2" s="2" t="s">
        <v>42</v>
      </c>
      <c r="F2" s="2" t="s">
        <v>43</v>
      </c>
      <c r="G2" s="2" t="s">
        <v>44</v>
      </c>
      <c r="H2" s="2" t="s">
        <v>45</v>
      </c>
      <c r="I2" s="2" t="s">
        <v>46</v>
      </c>
      <c r="J2" s="2" t="s">
        <v>47</v>
      </c>
      <c r="K2" s="2" t="s">
        <v>48</v>
      </c>
      <c r="L2" s="2" t="s">
        <v>49</v>
      </c>
      <c r="M2" s="2" t="s">
        <v>50</v>
      </c>
      <c r="N2" s="2" t="s">
        <v>51</v>
      </c>
      <c r="O2" s="2" t="s">
        <v>52</v>
      </c>
      <c r="P2" s="2" t="s">
        <v>43</v>
      </c>
      <c r="Q2" s="2" t="s">
        <v>44</v>
      </c>
      <c r="R2" s="2" t="s">
        <v>53</v>
      </c>
      <c r="S2" s="2" t="s">
        <v>54</v>
      </c>
      <c r="T2" s="2" t="s">
        <v>55</v>
      </c>
      <c r="U2" s="2" t="s">
        <v>56</v>
      </c>
      <c r="V2" s="2" t="s">
        <v>47</v>
      </c>
      <c r="W2" s="2" t="s">
        <v>48</v>
      </c>
      <c r="X2" s="2" t="s">
        <v>57</v>
      </c>
      <c r="Y2" s="2" t="s">
        <v>49</v>
      </c>
      <c r="Z2" s="2" t="s">
        <v>50</v>
      </c>
      <c r="AA2" s="2"/>
      <c r="AB2" s="2" t="s">
        <v>58</v>
      </c>
      <c r="AC2" s="2" t="s">
        <v>59</v>
      </c>
      <c r="AD2" s="2"/>
      <c r="AE2" s="2" t="s">
        <v>60</v>
      </c>
      <c r="AF2" s="2" t="s">
        <v>61</v>
      </c>
      <c r="AG2" s="2" t="s">
        <v>60</v>
      </c>
      <c r="AH2" s="2" t="s">
        <v>60</v>
      </c>
      <c r="AI2" s="2" t="s">
        <v>62</v>
      </c>
      <c r="AJ2" s="2"/>
      <c r="AK2" s="2" t="s">
        <v>63</v>
      </c>
      <c r="AL2" s="2" t="s">
        <v>64</v>
      </c>
      <c r="AM2" s="2" t="s">
        <v>65</v>
      </c>
    </row>
    <row r="3" customFormat="false" ht="79.85" hidden="false" customHeight="false" outlineLevel="0" collapsed="false">
      <c r="A3" s="2" t="n">
        <v>2</v>
      </c>
      <c r="B3" s="3" t="s">
        <v>66</v>
      </c>
      <c r="C3" s="2" t="s">
        <v>67</v>
      </c>
      <c r="D3" s="2" t="s">
        <v>68</v>
      </c>
      <c r="E3" s="2" t="s">
        <v>69</v>
      </c>
      <c r="F3" s="2" t="s">
        <v>70</v>
      </c>
      <c r="G3" s="2" t="s">
        <v>71</v>
      </c>
      <c r="H3" s="2" t="s">
        <v>72</v>
      </c>
      <c r="I3" s="2" t="s">
        <v>73</v>
      </c>
      <c r="J3" s="2" t="s">
        <v>74</v>
      </c>
      <c r="K3" s="2" t="s">
        <v>75</v>
      </c>
      <c r="L3" s="2" t="s">
        <v>76</v>
      </c>
      <c r="M3" s="2" t="s">
        <v>77</v>
      </c>
      <c r="N3" s="2" t="s">
        <v>78</v>
      </c>
      <c r="O3" s="2" t="s">
        <v>79</v>
      </c>
      <c r="P3" s="2" t="s">
        <v>80</v>
      </c>
      <c r="Q3" s="2" t="s">
        <v>81</v>
      </c>
      <c r="R3" s="2" t="s">
        <v>82</v>
      </c>
      <c r="S3" s="2" t="s">
        <v>83</v>
      </c>
      <c r="T3" s="2" t="s">
        <v>84</v>
      </c>
      <c r="U3" s="2" t="s">
        <v>85</v>
      </c>
      <c r="V3" s="2" t="s">
        <v>86</v>
      </c>
      <c r="W3" s="2" t="s">
        <v>87</v>
      </c>
      <c r="X3" s="2" t="s">
        <v>88</v>
      </c>
      <c r="Y3" s="2" t="s">
        <v>78</v>
      </c>
      <c r="Z3" s="2" t="s">
        <v>89</v>
      </c>
      <c r="AA3" s="2" t="s">
        <v>76</v>
      </c>
      <c r="AB3" s="2" t="s">
        <v>58</v>
      </c>
      <c r="AC3" s="2" t="s">
        <v>59</v>
      </c>
      <c r="AD3" s="2" t="s">
        <v>83</v>
      </c>
      <c r="AE3" s="2" t="s">
        <v>90</v>
      </c>
      <c r="AF3" s="2" t="s">
        <v>90</v>
      </c>
      <c r="AG3" s="2" t="s">
        <v>62</v>
      </c>
      <c r="AH3" s="2" t="s">
        <v>62</v>
      </c>
      <c r="AI3" s="2" t="s">
        <v>62</v>
      </c>
      <c r="AJ3" s="2" t="s">
        <v>91</v>
      </c>
      <c r="AK3" s="2" t="s">
        <v>92</v>
      </c>
      <c r="AL3" s="2" t="s">
        <v>93</v>
      </c>
      <c r="AM3" s="2" t="s">
        <v>94</v>
      </c>
    </row>
    <row r="4" customFormat="false" ht="35.05" hidden="false" customHeight="false" outlineLevel="0" collapsed="false">
      <c r="A4" s="2" t="n">
        <v>3</v>
      </c>
      <c r="B4" s="3" t="s">
        <v>95</v>
      </c>
      <c r="C4" s="2" t="s">
        <v>96</v>
      </c>
      <c r="D4" s="2" t="s">
        <v>97</v>
      </c>
      <c r="E4" s="2" t="s">
        <v>98</v>
      </c>
      <c r="F4" s="2" t="s">
        <v>99</v>
      </c>
      <c r="G4" s="2" t="s">
        <v>100</v>
      </c>
      <c r="H4" s="2" t="s">
        <v>101</v>
      </c>
      <c r="I4" s="2" t="s">
        <v>102</v>
      </c>
      <c r="J4" s="2" t="s">
        <v>103</v>
      </c>
      <c r="K4" s="2" t="s">
        <v>104</v>
      </c>
      <c r="L4" s="2" t="s">
        <v>105</v>
      </c>
      <c r="M4" s="2" t="s">
        <v>106</v>
      </c>
      <c r="N4" s="2" t="s">
        <v>58</v>
      </c>
      <c r="O4" s="2" t="s">
        <v>59</v>
      </c>
      <c r="P4" s="2" t="s">
        <v>99</v>
      </c>
      <c r="Q4" s="2" t="s">
        <v>100</v>
      </c>
      <c r="R4" s="2"/>
      <c r="S4" s="2" t="s">
        <v>107</v>
      </c>
      <c r="T4" s="2" t="s">
        <v>108</v>
      </c>
      <c r="U4" s="2" t="s">
        <v>109</v>
      </c>
      <c r="V4" s="2" t="s">
        <v>110</v>
      </c>
      <c r="W4" s="2" t="s">
        <v>111</v>
      </c>
      <c r="X4" s="2" t="s">
        <v>112</v>
      </c>
      <c r="Y4" s="2" t="s">
        <v>105</v>
      </c>
      <c r="Z4" s="2" t="s">
        <v>106</v>
      </c>
      <c r="AA4" s="2"/>
      <c r="AB4" s="2" t="s">
        <v>58</v>
      </c>
      <c r="AC4" s="2" t="s">
        <v>59</v>
      </c>
      <c r="AD4" s="2"/>
      <c r="AE4" s="2" t="s">
        <v>60</v>
      </c>
      <c r="AF4" s="2" t="s">
        <v>62</v>
      </c>
      <c r="AG4" s="2" t="s">
        <v>61</v>
      </c>
      <c r="AH4" s="2" t="s">
        <v>60</v>
      </c>
      <c r="AI4" s="2" t="s">
        <v>60</v>
      </c>
      <c r="AJ4" s="2"/>
      <c r="AK4" s="2" t="s">
        <v>63</v>
      </c>
      <c r="AL4" s="2" t="s">
        <v>113</v>
      </c>
      <c r="AM4" s="2" t="s">
        <v>114</v>
      </c>
    </row>
    <row r="5" customFormat="false" ht="35.05" hidden="false" customHeight="false" outlineLevel="0" collapsed="false">
      <c r="A5" s="2" t="n">
        <v>4</v>
      </c>
      <c r="B5" s="3" t="s">
        <v>115</v>
      </c>
      <c r="C5" s="2" t="s">
        <v>116</v>
      </c>
      <c r="D5" s="2" t="s">
        <v>97</v>
      </c>
      <c r="E5" s="2" t="s">
        <v>117</v>
      </c>
      <c r="F5" s="2" t="s">
        <v>118</v>
      </c>
      <c r="G5" s="2" t="s">
        <v>119</v>
      </c>
      <c r="H5" s="2" t="s">
        <v>120</v>
      </c>
      <c r="I5" s="2" t="s">
        <v>121</v>
      </c>
      <c r="J5" s="2" t="s">
        <v>122</v>
      </c>
      <c r="K5" s="2" t="s">
        <v>123</v>
      </c>
      <c r="L5" s="2" t="s">
        <v>124</v>
      </c>
      <c r="M5" s="2" t="s">
        <v>125</v>
      </c>
      <c r="N5" s="2" t="s">
        <v>126</v>
      </c>
      <c r="O5" s="2" t="s">
        <v>127</v>
      </c>
      <c r="P5" s="2" t="s">
        <v>118</v>
      </c>
      <c r="Q5" s="2" t="s">
        <v>128</v>
      </c>
      <c r="R5" s="2" t="s">
        <v>129</v>
      </c>
      <c r="S5" s="2" t="s">
        <v>130</v>
      </c>
      <c r="T5" s="2" t="s">
        <v>131</v>
      </c>
      <c r="U5" s="2"/>
      <c r="V5" s="2" t="s">
        <v>122</v>
      </c>
      <c r="W5" s="2" t="s">
        <v>132</v>
      </c>
      <c r="X5" s="2" t="s">
        <v>133</v>
      </c>
      <c r="Y5" s="2" t="s">
        <v>124</v>
      </c>
      <c r="Z5" s="2" t="s">
        <v>134</v>
      </c>
      <c r="AA5" s="2" t="s">
        <v>135</v>
      </c>
      <c r="AB5" s="2" t="s">
        <v>58</v>
      </c>
      <c r="AC5" s="2" t="s">
        <v>59</v>
      </c>
      <c r="AD5" s="2"/>
      <c r="AE5" s="2" t="s">
        <v>60</v>
      </c>
      <c r="AF5" s="2" t="s">
        <v>136</v>
      </c>
      <c r="AG5" s="2" t="s">
        <v>60</v>
      </c>
      <c r="AH5" s="2" t="s">
        <v>60</v>
      </c>
      <c r="AI5" s="2" t="s">
        <v>62</v>
      </c>
      <c r="AJ5" s="2"/>
      <c r="AK5" s="2" t="s">
        <v>63</v>
      </c>
      <c r="AL5" s="2" t="s">
        <v>137</v>
      </c>
      <c r="AM5" s="2" t="s">
        <v>138</v>
      </c>
    </row>
    <row r="6" customFormat="false" ht="46.25" hidden="false" customHeight="false" outlineLevel="0" collapsed="false">
      <c r="A6" s="2" t="n">
        <v>5</v>
      </c>
      <c r="B6" s="3" t="s">
        <v>139</v>
      </c>
      <c r="C6" s="2" t="s">
        <v>140</v>
      </c>
      <c r="D6" s="2" t="s">
        <v>68</v>
      </c>
      <c r="E6" s="2" t="s">
        <v>141</v>
      </c>
      <c r="F6" s="2" t="s">
        <v>142</v>
      </c>
      <c r="G6" s="2" t="s">
        <v>143</v>
      </c>
      <c r="H6" s="2" t="s">
        <v>130</v>
      </c>
      <c r="I6" s="2" t="s">
        <v>131</v>
      </c>
      <c r="J6" s="2" t="s">
        <v>144</v>
      </c>
      <c r="K6" s="2" t="s">
        <v>145</v>
      </c>
      <c r="L6" s="2" t="s">
        <v>76</v>
      </c>
      <c r="M6" s="2" t="s">
        <v>77</v>
      </c>
      <c r="N6" s="2" t="s">
        <v>58</v>
      </c>
      <c r="O6" s="2" t="s">
        <v>59</v>
      </c>
      <c r="P6" s="2" t="s">
        <v>142</v>
      </c>
      <c r="Q6" s="2" t="s">
        <v>143</v>
      </c>
      <c r="R6" s="2"/>
      <c r="S6" s="2" t="s">
        <v>130</v>
      </c>
      <c r="T6" s="2" t="s">
        <v>131</v>
      </c>
      <c r="U6" s="2"/>
      <c r="V6" s="2" t="s">
        <v>83</v>
      </c>
      <c r="W6" s="2" t="s">
        <v>146</v>
      </c>
      <c r="X6" s="2" t="s">
        <v>147</v>
      </c>
      <c r="Y6" s="2" t="s">
        <v>83</v>
      </c>
      <c r="Z6" s="2" t="s">
        <v>148</v>
      </c>
      <c r="AA6" s="2" t="s">
        <v>149</v>
      </c>
      <c r="AB6" s="2" t="s">
        <v>83</v>
      </c>
      <c r="AC6" s="2" t="s">
        <v>148</v>
      </c>
      <c r="AD6" s="2" t="s">
        <v>58</v>
      </c>
      <c r="AE6" s="2" t="s">
        <v>60</v>
      </c>
      <c r="AF6" s="2" t="s">
        <v>60</v>
      </c>
      <c r="AG6" s="2" t="s">
        <v>90</v>
      </c>
      <c r="AH6" s="2" t="s">
        <v>90</v>
      </c>
      <c r="AI6" s="2" t="s">
        <v>90</v>
      </c>
      <c r="AJ6" s="2" t="s">
        <v>150</v>
      </c>
      <c r="AK6" s="2" t="s">
        <v>92</v>
      </c>
      <c r="AL6" s="2" t="s">
        <v>151</v>
      </c>
      <c r="AM6" s="2" t="s">
        <v>152</v>
      </c>
    </row>
    <row r="7" customFormat="false" ht="23.85" hidden="false" customHeight="false" outlineLevel="0" collapsed="false">
      <c r="A7" s="2" t="n">
        <v>6</v>
      </c>
      <c r="B7" s="3" t="s">
        <v>153</v>
      </c>
      <c r="C7" s="2" t="s">
        <v>154</v>
      </c>
      <c r="D7" s="2" t="s">
        <v>155</v>
      </c>
      <c r="E7" s="2" t="s">
        <v>156</v>
      </c>
      <c r="F7" s="2" t="s">
        <v>142</v>
      </c>
      <c r="G7" s="2" t="s">
        <v>143</v>
      </c>
      <c r="H7" s="2" t="s">
        <v>157</v>
      </c>
      <c r="I7" s="2" t="s">
        <v>158</v>
      </c>
      <c r="J7" s="2" t="s">
        <v>159</v>
      </c>
      <c r="K7" s="2" t="s">
        <v>160</v>
      </c>
      <c r="L7" s="2" t="s">
        <v>161</v>
      </c>
      <c r="M7" s="2" t="s">
        <v>162</v>
      </c>
      <c r="N7" s="2" t="s">
        <v>163</v>
      </c>
      <c r="O7" s="2" t="s">
        <v>164</v>
      </c>
      <c r="P7" s="2" t="s">
        <v>142</v>
      </c>
      <c r="Q7" s="2" t="s">
        <v>143</v>
      </c>
      <c r="R7" s="2"/>
      <c r="S7" s="2" t="s">
        <v>157</v>
      </c>
      <c r="T7" s="2" t="s">
        <v>165</v>
      </c>
      <c r="U7" s="2" t="s">
        <v>166</v>
      </c>
      <c r="V7" s="2" t="s">
        <v>159</v>
      </c>
      <c r="W7" s="2" t="s">
        <v>160</v>
      </c>
      <c r="X7" s="2" t="s">
        <v>167</v>
      </c>
      <c r="Y7" s="2" t="s">
        <v>161</v>
      </c>
      <c r="Z7" s="2" t="s">
        <v>162</v>
      </c>
      <c r="AA7" s="2" t="s">
        <v>168</v>
      </c>
      <c r="AB7" s="2" t="s">
        <v>83</v>
      </c>
      <c r="AC7" s="2" t="s">
        <v>148</v>
      </c>
      <c r="AD7" s="2" t="s">
        <v>169</v>
      </c>
      <c r="AE7" s="2" t="s">
        <v>60</v>
      </c>
      <c r="AF7" s="2" t="s">
        <v>60</v>
      </c>
      <c r="AG7" s="2" t="s">
        <v>60</v>
      </c>
      <c r="AH7" s="2" t="s">
        <v>60</v>
      </c>
      <c r="AI7" s="2" t="s">
        <v>61</v>
      </c>
      <c r="AJ7" s="2"/>
      <c r="AK7" s="2" t="s">
        <v>63</v>
      </c>
      <c r="AL7" s="2" t="s">
        <v>170</v>
      </c>
      <c r="AM7" s="2" t="s">
        <v>171</v>
      </c>
    </row>
    <row r="8" customFormat="false" ht="35.05" hidden="false" customHeight="false" outlineLevel="0" collapsed="false">
      <c r="A8" s="2" t="n">
        <v>7</v>
      </c>
      <c r="B8" s="3" t="s">
        <v>172</v>
      </c>
      <c r="C8" s="2" t="s">
        <v>173</v>
      </c>
      <c r="D8" s="2" t="s">
        <v>68</v>
      </c>
      <c r="E8" s="2" t="s">
        <v>174</v>
      </c>
      <c r="F8" s="2" t="s">
        <v>175</v>
      </c>
      <c r="G8" s="2" t="s">
        <v>176</v>
      </c>
      <c r="H8" s="2" t="s">
        <v>45</v>
      </c>
      <c r="I8" s="2" t="s">
        <v>46</v>
      </c>
      <c r="J8" s="2" t="s">
        <v>177</v>
      </c>
      <c r="K8" s="2" t="s">
        <v>178</v>
      </c>
      <c r="L8" s="2" t="s">
        <v>76</v>
      </c>
      <c r="M8" s="2" t="s">
        <v>77</v>
      </c>
      <c r="N8" s="2" t="s">
        <v>58</v>
      </c>
      <c r="O8" s="2" t="s">
        <v>59</v>
      </c>
      <c r="P8" s="2" t="s">
        <v>179</v>
      </c>
      <c r="Q8" s="2" t="s">
        <v>180</v>
      </c>
      <c r="R8" s="2" t="s">
        <v>181</v>
      </c>
      <c r="S8" s="2" t="s">
        <v>54</v>
      </c>
      <c r="T8" s="2" t="s">
        <v>55</v>
      </c>
      <c r="U8" s="2" t="s">
        <v>182</v>
      </c>
      <c r="V8" s="2" t="s">
        <v>177</v>
      </c>
      <c r="W8" s="2" t="s">
        <v>178</v>
      </c>
      <c r="X8" s="2" t="s">
        <v>183</v>
      </c>
      <c r="Y8" s="2" t="s">
        <v>76</v>
      </c>
      <c r="Z8" s="2" t="s">
        <v>77</v>
      </c>
      <c r="AA8" s="2"/>
      <c r="AB8" s="2" t="s">
        <v>58</v>
      </c>
      <c r="AC8" s="2" t="s">
        <v>59</v>
      </c>
      <c r="AD8" s="2" t="s">
        <v>83</v>
      </c>
      <c r="AE8" s="2" t="s">
        <v>61</v>
      </c>
      <c r="AF8" s="2" t="s">
        <v>61</v>
      </c>
      <c r="AG8" s="2" t="s">
        <v>60</v>
      </c>
      <c r="AH8" s="2" t="s">
        <v>60</v>
      </c>
      <c r="AI8" s="2" t="s">
        <v>60</v>
      </c>
      <c r="AJ8" s="2"/>
      <c r="AK8" s="2" t="s">
        <v>92</v>
      </c>
      <c r="AL8" s="2" t="s">
        <v>184</v>
      </c>
      <c r="AM8" s="2" t="s">
        <v>185</v>
      </c>
    </row>
    <row r="9" customFormat="false" ht="46.25" hidden="false" customHeight="false" outlineLevel="0" collapsed="false">
      <c r="A9" s="2" t="n">
        <v>8</v>
      </c>
      <c r="B9" s="3" t="s">
        <v>186</v>
      </c>
      <c r="C9" s="2" t="s">
        <v>187</v>
      </c>
      <c r="D9" s="2" t="s">
        <v>188</v>
      </c>
      <c r="E9" s="2" t="s">
        <v>189</v>
      </c>
      <c r="F9" s="2" t="s">
        <v>190</v>
      </c>
      <c r="G9" s="2" t="s">
        <v>191</v>
      </c>
      <c r="H9" s="2" t="s">
        <v>192</v>
      </c>
      <c r="I9" s="2" t="s">
        <v>193</v>
      </c>
      <c r="J9" s="2" t="s">
        <v>194</v>
      </c>
      <c r="K9" s="2" t="s">
        <v>195</v>
      </c>
      <c r="L9" s="2" t="s">
        <v>196</v>
      </c>
      <c r="M9" s="2" t="s">
        <v>197</v>
      </c>
      <c r="N9" s="2" t="s">
        <v>198</v>
      </c>
      <c r="O9" s="2" t="s">
        <v>199</v>
      </c>
      <c r="P9" s="2" t="s">
        <v>200</v>
      </c>
      <c r="Q9" s="2" t="s">
        <v>201</v>
      </c>
      <c r="R9" s="2" t="s">
        <v>202</v>
      </c>
      <c r="S9" s="2" t="s">
        <v>203</v>
      </c>
      <c r="T9" s="2" t="s">
        <v>204</v>
      </c>
      <c r="U9" s="2"/>
      <c r="V9" s="2" t="s">
        <v>194</v>
      </c>
      <c r="W9" s="2" t="s">
        <v>195</v>
      </c>
      <c r="X9" s="2" t="s">
        <v>205</v>
      </c>
      <c r="Y9" s="2" t="s">
        <v>196</v>
      </c>
      <c r="Z9" s="2" t="s">
        <v>197</v>
      </c>
      <c r="AA9" s="2" t="s">
        <v>206</v>
      </c>
      <c r="AB9" s="2" t="s">
        <v>207</v>
      </c>
      <c r="AC9" s="2" t="s">
        <v>208</v>
      </c>
      <c r="AD9" s="2" t="s">
        <v>209</v>
      </c>
      <c r="AE9" s="2" t="s">
        <v>90</v>
      </c>
      <c r="AF9" s="2" t="s">
        <v>90</v>
      </c>
      <c r="AG9" s="2" t="s">
        <v>60</v>
      </c>
      <c r="AH9" s="2" t="s">
        <v>60</v>
      </c>
      <c r="AI9" s="2" t="s">
        <v>62</v>
      </c>
      <c r="AJ9" s="2"/>
      <c r="AK9" s="2" t="s">
        <v>63</v>
      </c>
      <c r="AL9" s="2" t="s">
        <v>210</v>
      </c>
      <c r="AM9" s="2" t="s">
        <v>211</v>
      </c>
    </row>
    <row r="10" customFormat="false" ht="23.85" hidden="false" customHeight="false" outlineLevel="0" collapsed="false">
      <c r="A10" s="2" t="n">
        <v>9</v>
      </c>
      <c r="B10" s="3" t="s">
        <v>212</v>
      </c>
      <c r="C10" s="2" t="s">
        <v>213</v>
      </c>
      <c r="D10" s="2" t="s">
        <v>214</v>
      </c>
      <c r="E10" s="2" t="s">
        <v>215</v>
      </c>
      <c r="F10" s="2" t="s">
        <v>142</v>
      </c>
      <c r="G10" s="2" t="s">
        <v>143</v>
      </c>
      <c r="H10" s="2" t="s">
        <v>216</v>
      </c>
      <c r="I10" s="2" t="s">
        <v>217</v>
      </c>
      <c r="J10" s="2" t="s">
        <v>83</v>
      </c>
      <c r="K10" s="2" t="s">
        <v>218</v>
      </c>
      <c r="L10" s="2" t="s">
        <v>219</v>
      </c>
      <c r="M10" s="2" t="s">
        <v>220</v>
      </c>
      <c r="N10" s="2" t="s">
        <v>58</v>
      </c>
      <c r="O10" s="2" t="s">
        <v>59</v>
      </c>
      <c r="P10" s="2" t="s">
        <v>142</v>
      </c>
      <c r="Q10" s="2" t="s">
        <v>143</v>
      </c>
      <c r="R10" s="2"/>
      <c r="S10" s="2" t="s">
        <v>216</v>
      </c>
      <c r="T10" s="2" t="s">
        <v>217</v>
      </c>
      <c r="U10" s="2" t="s">
        <v>221</v>
      </c>
      <c r="V10" s="2" t="s">
        <v>222</v>
      </c>
      <c r="W10" s="2" t="s">
        <v>223</v>
      </c>
      <c r="X10" s="2" t="s">
        <v>224</v>
      </c>
      <c r="Y10" s="2" t="s">
        <v>219</v>
      </c>
      <c r="Z10" s="2" t="s">
        <v>225</v>
      </c>
      <c r="AA10" s="2" t="s">
        <v>226</v>
      </c>
      <c r="AB10" s="2" t="s">
        <v>58</v>
      </c>
      <c r="AC10" s="2" t="s">
        <v>59</v>
      </c>
      <c r="AD10" s="2"/>
      <c r="AE10" s="2" t="s">
        <v>60</v>
      </c>
      <c r="AF10" s="2" t="s">
        <v>60</v>
      </c>
      <c r="AG10" s="2" t="s">
        <v>227</v>
      </c>
      <c r="AH10" s="2" t="s">
        <v>60</v>
      </c>
      <c r="AI10" s="2" t="s">
        <v>60</v>
      </c>
      <c r="AJ10" s="2"/>
      <c r="AK10" s="2" t="s">
        <v>63</v>
      </c>
      <c r="AL10" s="2" t="s">
        <v>228</v>
      </c>
      <c r="AM10" s="2" t="s">
        <v>229</v>
      </c>
    </row>
    <row r="11" customFormat="false" ht="35.05" hidden="false" customHeight="false" outlineLevel="0" collapsed="false">
      <c r="A11" s="2" t="n">
        <v>10</v>
      </c>
      <c r="B11" s="3" t="s">
        <v>230</v>
      </c>
      <c r="C11" s="2" t="s">
        <v>231</v>
      </c>
      <c r="D11" s="2" t="s">
        <v>214</v>
      </c>
      <c r="E11" s="2" t="s">
        <v>232</v>
      </c>
      <c r="F11" s="2" t="s">
        <v>179</v>
      </c>
      <c r="G11" s="2" t="s">
        <v>233</v>
      </c>
      <c r="H11" s="2" t="s">
        <v>234</v>
      </c>
      <c r="I11" s="2" t="s">
        <v>235</v>
      </c>
      <c r="J11" s="2" t="s">
        <v>83</v>
      </c>
      <c r="K11" s="2" t="s">
        <v>218</v>
      </c>
      <c r="L11" s="2" t="s">
        <v>236</v>
      </c>
      <c r="M11" s="2" t="s">
        <v>237</v>
      </c>
      <c r="N11" s="2" t="s">
        <v>83</v>
      </c>
      <c r="O11" s="2" t="s">
        <v>238</v>
      </c>
      <c r="P11" s="2" t="s">
        <v>179</v>
      </c>
      <c r="Q11" s="2" t="s">
        <v>180</v>
      </c>
      <c r="R11" s="2" t="s">
        <v>175</v>
      </c>
      <c r="S11" s="2" t="s">
        <v>234</v>
      </c>
      <c r="T11" s="2" t="s">
        <v>235</v>
      </c>
      <c r="U11" s="2" t="s">
        <v>239</v>
      </c>
      <c r="V11" s="2" t="s">
        <v>240</v>
      </c>
      <c r="W11" s="2" t="s">
        <v>241</v>
      </c>
      <c r="X11" s="2" t="s">
        <v>242</v>
      </c>
      <c r="Y11" s="2" t="s">
        <v>236</v>
      </c>
      <c r="Z11" s="2" t="s">
        <v>243</v>
      </c>
      <c r="AA11" s="2" t="s">
        <v>244</v>
      </c>
      <c r="AB11" s="2" t="s">
        <v>58</v>
      </c>
      <c r="AC11" s="2" t="s">
        <v>59</v>
      </c>
      <c r="AD11" s="2"/>
      <c r="AE11" s="2" t="s">
        <v>60</v>
      </c>
      <c r="AF11" s="2" t="s">
        <v>60</v>
      </c>
      <c r="AG11" s="2" t="s">
        <v>227</v>
      </c>
      <c r="AH11" s="2" t="s">
        <v>60</v>
      </c>
      <c r="AI11" s="2" t="s">
        <v>90</v>
      </c>
      <c r="AJ11" s="2"/>
      <c r="AK11" s="2" t="s">
        <v>92</v>
      </c>
      <c r="AL11" s="2" t="s">
        <v>245</v>
      </c>
      <c r="AM11" s="2" t="s">
        <v>246</v>
      </c>
    </row>
    <row r="12" customFormat="false" ht="35.05" hidden="false" customHeight="false" outlineLevel="0" collapsed="false">
      <c r="A12" s="2" t="n">
        <v>11</v>
      </c>
      <c r="B12" s="3" t="s">
        <v>247</v>
      </c>
      <c r="C12" s="2" t="s">
        <v>248</v>
      </c>
      <c r="D12" s="2" t="s">
        <v>41</v>
      </c>
      <c r="E12" s="2" t="s">
        <v>249</v>
      </c>
      <c r="F12" s="2" t="s">
        <v>250</v>
      </c>
      <c r="G12" s="2" t="s">
        <v>251</v>
      </c>
      <c r="H12" s="2" t="s">
        <v>252</v>
      </c>
      <c r="I12" s="2" t="s">
        <v>253</v>
      </c>
      <c r="J12" s="2" t="s">
        <v>47</v>
      </c>
      <c r="K12" s="2" t="s">
        <v>48</v>
      </c>
      <c r="L12" s="2" t="s">
        <v>254</v>
      </c>
      <c r="M12" s="2" t="s">
        <v>255</v>
      </c>
      <c r="N12" s="2" t="s">
        <v>58</v>
      </c>
      <c r="O12" s="2" t="s">
        <v>59</v>
      </c>
      <c r="P12" s="2" t="s">
        <v>256</v>
      </c>
      <c r="Q12" s="2" t="s">
        <v>257</v>
      </c>
      <c r="R12" s="2" t="s">
        <v>258</v>
      </c>
      <c r="S12" s="2" t="s">
        <v>252</v>
      </c>
      <c r="T12" s="2" t="s">
        <v>253</v>
      </c>
      <c r="U12" s="2" t="s">
        <v>259</v>
      </c>
      <c r="V12" s="2" t="s">
        <v>260</v>
      </c>
      <c r="W12" s="2" t="s">
        <v>261</v>
      </c>
      <c r="X12" s="2" t="s">
        <v>262</v>
      </c>
      <c r="Y12" s="2" t="s">
        <v>254</v>
      </c>
      <c r="Z12" s="2" t="s">
        <v>255</v>
      </c>
      <c r="AA12" s="2" t="s">
        <v>263</v>
      </c>
      <c r="AB12" s="2" t="s">
        <v>58</v>
      </c>
      <c r="AC12" s="2" t="s">
        <v>59</v>
      </c>
      <c r="AD12" s="2"/>
      <c r="AE12" s="2" t="s">
        <v>62</v>
      </c>
      <c r="AF12" s="2" t="s">
        <v>60</v>
      </c>
      <c r="AG12" s="2" t="s">
        <v>62</v>
      </c>
      <c r="AH12" s="2" t="s">
        <v>60</v>
      </c>
      <c r="AI12" s="2" t="s">
        <v>60</v>
      </c>
      <c r="AJ12" s="2"/>
      <c r="AK12" s="2" t="s">
        <v>63</v>
      </c>
      <c r="AL12" s="2" t="s">
        <v>264</v>
      </c>
      <c r="AM12" s="2" t="s">
        <v>265</v>
      </c>
    </row>
    <row r="13" customFormat="false" ht="46.25" hidden="false" customHeight="false" outlineLevel="0" collapsed="false">
      <c r="A13" s="2" t="n">
        <v>12</v>
      </c>
      <c r="B13" s="3" t="s">
        <v>266</v>
      </c>
      <c r="C13" s="2" t="s">
        <v>267</v>
      </c>
      <c r="D13" s="2" t="s">
        <v>155</v>
      </c>
      <c r="E13" s="2" t="s">
        <v>268</v>
      </c>
      <c r="F13" s="2" t="s">
        <v>200</v>
      </c>
      <c r="G13" s="2" t="s">
        <v>269</v>
      </c>
      <c r="H13" s="2" t="s">
        <v>270</v>
      </c>
      <c r="I13" s="2" t="s">
        <v>271</v>
      </c>
      <c r="J13" s="2" t="s">
        <v>272</v>
      </c>
      <c r="K13" s="2" t="s">
        <v>273</v>
      </c>
      <c r="L13" s="2" t="s">
        <v>274</v>
      </c>
      <c r="M13" s="2" t="s">
        <v>275</v>
      </c>
      <c r="N13" s="2" t="s">
        <v>58</v>
      </c>
      <c r="O13" s="2" t="s">
        <v>59</v>
      </c>
      <c r="P13" s="2" t="s">
        <v>200</v>
      </c>
      <c r="Q13" s="2" t="s">
        <v>201</v>
      </c>
      <c r="R13" s="2" t="s">
        <v>276</v>
      </c>
      <c r="S13" s="2" t="s">
        <v>277</v>
      </c>
      <c r="T13" s="2" t="s">
        <v>278</v>
      </c>
      <c r="U13" s="2" t="s">
        <v>279</v>
      </c>
      <c r="V13" s="2" t="s">
        <v>280</v>
      </c>
      <c r="W13" s="2" t="s">
        <v>281</v>
      </c>
      <c r="X13" s="2" t="s">
        <v>282</v>
      </c>
      <c r="Y13" s="2" t="s">
        <v>274</v>
      </c>
      <c r="Z13" s="2" t="s">
        <v>275</v>
      </c>
      <c r="AA13" s="2" t="s">
        <v>283</v>
      </c>
      <c r="AB13" s="2" t="s">
        <v>83</v>
      </c>
      <c r="AC13" s="2" t="s">
        <v>148</v>
      </c>
      <c r="AD13" s="2" t="s">
        <v>58</v>
      </c>
      <c r="AE13" s="2" t="s">
        <v>90</v>
      </c>
      <c r="AF13" s="2" t="s">
        <v>62</v>
      </c>
      <c r="AG13" s="2" t="s">
        <v>62</v>
      </c>
      <c r="AH13" s="2" t="s">
        <v>60</v>
      </c>
      <c r="AI13" s="2" t="s">
        <v>90</v>
      </c>
      <c r="AJ13" s="2" t="s">
        <v>284</v>
      </c>
      <c r="AK13" s="2" t="s">
        <v>92</v>
      </c>
      <c r="AL13" s="2" t="s">
        <v>285</v>
      </c>
      <c r="AM13" s="2" t="s">
        <v>286</v>
      </c>
    </row>
    <row r="14" customFormat="false" ht="57.45" hidden="false" customHeight="false" outlineLevel="0" collapsed="false">
      <c r="A14" s="2" t="n">
        <v>13</v>
      </c>
      <c r="B14" s="3" t="s">
        <v>287</v>
      </c>
      <c r="C14" s="2" t="s">
        <v>288</v>
      </c>
      <c r="D14" s="2" t="s">
        <v>97</v>
      </c>
      <c r="E14" s="2" t="s">
        <v>289</v>
      </c>
      <c r="F14" s="2" t="s">
        <v>290</v>
      </c>
      <c r="G14" s="2" t="s">
        <v>291</v>
      </c>
      <c r="H14" s="2" t="s">
        <v>292</v>
      </c>
      <c r="I14" s="2" t="s">
        <v>293</v>
      </c>
      <c r="J14" s="2" t="s">
        <v>294</v>
      </c>
      <c r="K14" s="2" t="s">
        <v>295</v>
      </c>
      <c r="L14" s="2" t="s">
        <v>296</v>
      </c>
      <c r="M14" s="2" t="s">
        <v>297</v>
      </c>
      <c r="N14" s="2" t="s">
        <v>58</v>
      </c>
      <c r="O14" s="2" t="s">
        <v>59</v>
      </c>
      <c r="P14" s="2" t="s">
        <v>290</v>
      </c>
      <c r="Q14" s="2" t="s">
        <v>298</v>
      </c>
      <c r="R14" s="2" t="s">
        <v>299</v>
      </c>
      <c r="S14" s="2" t="s">
        <v>292</v>
      </c>
      <c r="T14" s="2" t="s">
        <v>293</v>
      </c>
      <c r="U14" s="2" t="s">
        <v>300</v>
      </c>
      <c r="V14" s="2" t="s">
        <v>47</v>
      </c>
      <c r="W14" s="2" t="s">
        <v>48</v>
      </c>
      <c r="X14" s="2" t="s">
        <v>294</v>
      </c>
      <c r="Y14" s="2" t="s">
        <v>301</v>
      </c>
      <c r="Z14" s="2" t="s">
        <v>302</v>
      </c>
      <c r="AA14" s="2" t="s">
        <v>303</v>
      </c>
      <c r="AB14" s="2" t="s">
        <v>58</v>
      </c>
      <c r="AC14" s="2" t="s">
        <v>59</v>
      </c>
      <c r="AD14" s="2" t="s">
        <v>301</v>
      </c>
      <c r="AE14" s="2" t="s">
        <v>60</v>
      </c>
      <c r="AF14" s="2" t="s">
        <v>60</v>
      </c>
      <c r="AG14" s="2" t="s">
        <v>62</v>
      </c>
      <c r="AH14" s="2" t="s">
        <v>227</v>
      </c>
      <c r="AI14" s="2" t="s">
        <v>60</v>
      </c>
      <c r="AJ14" s="2"/>
      <c r="AK14" s="2" t="s">
        <v>63</v>
      </c>
      <c r="AL14" s="2" t="s">
        <v>304</v>
      </c>
      <c r="AM14" s="2" t="s">
        <v>305</v>
      </c>
    </row>
    <row r="15" customFormat="false" ht="57.45" hidden="false" customHeight="false" outlineLevel="0" collapsed="false">
      <c r="A15" s="2" t="n">
        <v>14</v>
      </c>
      <c r="B15" s="3" t="s">
        <v>306</v>
      </c>
      <c r="C15" s="2" t="s">
        <v>307</v>
      </c>
      <c r="D15" s="2" t="s">
        <v>97</v>
      </c>
      <c r="E15" s="2" t="s">
        <v>308</v>
      </c>
      <c r="F15" s="2" t="s">
        <v>70</v>
      </c>
      <c r="G15" s="2" t="s">
        <v>71</v>
      </c>
      <c r="H15" s="2" t="s">
        <v>157</v>
      </c>
      <c r="I15" s="2" t="s">
        <v>158</v>
      </c>
      <c r="J15" s="2" t="s">
        <v>309</v>
      </c>
      <c r="K15" s="2" t="s">
        <v>310</v>
      </c>
      <c r="L15" s="2" t="s">
        <v>311</v>
      </c>
      <c r="M15" s="2" t="s">
        <v>312</v>
      </c>
      <c r="N15" s="2" t="s">
        <v>219</v>
      </c>
      <c r="O15" s="2" t="s">
        <v>220</v>
      </c>
      <c r="P15" s="2" t="s">
        <v>313</v>
      </c>
      <c r="Q15" s="2" t="s">
        <v>314</v>
      </c>
      <c r="R15" s="2" t="s">
        <v>315</v>
      </c>
      <c r="S15" s="2" t="s">
        <v>316</v>
      </c>
      <c r="T15" s="2" t="s">
        <v>317</v>
      </c>
      <c r="U15" s="2" t="s">
        <v>318</v>
      </c>
      <c r="V15" s="2" t="s">
        <v>319</v>
      </c>
      <c r="W15" s="2" t="s">
        <v>320</v>
      </c>
      <c r="X15" s="2" t="s">
        <v>321</v>
      </c>
      <c r="Y15" s="2" t="s">
        <v>311</v>
      </c>
      <c r="Z15" s="2" t="s">
        <v>312</v>
      </c>
      <c r="AA15" s="2"/>
      <c r="AB15" s="2" t="s">
        <v>219</v>
      </c>
      <c r="AC15" s="2" t="s">
        <v>225</v>
      </c>
      <c r="AD15" s="2" t="s">
        <v>322</v>
      </c>
      <c r="AE15" s="2" t="s">
        <v>62</v>
      </c>
      <c r="AF15" s="2" t="s">
        <v>62</v>
      </c>
      <c r="AG15" s="2" t="s">
        <v>61</v>
      </c>
      <c r="AH15" s="2" t="s">
        <v>60</v>
      </c>
      <c r="AI15" s="2" t="s">
        <v>60</v>
      </c>
      <c r="AJ15" s="2"/>
      <c r="AK15" s="2" t="s">
        <v>63</v>
      </c>
      <c r="AL15" s="2" t="s">
        <v>323</v>
      </c>
      <c r="AM15" s="2" t="s">
        <v>324</v>
      </c>
    </row>
    <row r="16" customFormat="false" ht="57.45" hidden="false" customHeight="false" outlineLevel="0" collapsed="false">
      <c r="A16" s="2" t="n">
        <v>15</v>
      </c>
      <c r="B16" s="3" t="s">
        <v>325</v>
      </c>
      <c r="C16" s="2" t="s">
        <v>231</v>
      </c>
      <c r="D16" s="2" t="s">
        <v>97</v>
      </c>
      <c r="E16" s="2" t="s">
        <v>326</v>
      </c>
      <c r="F16" s="2" t="s">
        <v>327</v>
      </c>
      <c r="G16" s="2" t="s">
        <v>328</v>
      </c>
      <c r="H16" s="2" t="s">
        <v>329</v>
      </c>
      <c r="I16" s="2" t="s">
        <v>330</v>
      </c>
      <c r="J16" s="2" t="s">
        <v>309</v>
      </c>
      <c r="K16" s="2" t="s">
        <v>310</v>
      </c>
      <c r="L16" s="2" t="s">
        <v>331</v>
      </c>
      <c r="M16" s="2" t="s">
        <v>332</v>
      </c>
      <c r="N16" s="2" t="s">
        <v>83</v>
      </c>
      <c r="O16" s="2" t="s">
        <v>238</v>
      </c>
      <c r="P16" s="2" t="s">
        <v>333</v>
      </c>
      <c r="Q16" s="2" t="s">
        <v>334</v>
      </c>
      <c r="R16" s="2" t="s">
        <v>335</v>
      </c>
      <c r="S16" s="2" t="s">
        <v>329</v>
      </c>
      <c r="T16" s="2" t="s">
        <v>330</v>
      </c>
      <c r="U16" s="2" t="s">
        <v>336</v>
      </c>
      <c r="V16" s="2" t="s">
        <v>309</v>
      </c>
      <c r="W16" s="2" t="s">
        <v>337</v>
      </c>
      <c r="X16" s="2" t="s">
        <v>338</v>
      </c>
      <c r="Y16" s="2" t="s">
        <v>339</v>
      </c>
      <c r="Z16" s="2" t="s">
        <v>340</v>
      </c>
      <c r="AA16" s="2" t="s">
        <v>341</v>
      </c>
      <c r="AB16" s="2" t="s">
        <v>342</v>
      </c>
      <c r="AC16" s="2" t="s">
        <v>343</v>
      </c>
      <c r="AD16" s="2" t="s">
        <v>339</v>
      </c>
      <c r="AE16" s="2" t="s">
        <v>62</v>
      </c>
      <c r="AF16" s="2" t="s">
        <v>60</v>
      </c>
      <c r="AG16" s="2" t="s">
        <v>60</v>
      </c>
      <c r="AH16" s="2" t="s">
        <v>61</v>
      </c>
      <c r="AI16" s="2" t="s">
        <v>62</v>
      </c>
      <c r="AJ16" s="2"/>
      <c r="AK16" s="2" t="s">
        <v>63</v>
      </c>
      <c r="AL16" s="2" t="s">
        <v>344</v>
      </c>
      <c r="AM16" s="2" t="s">
        <v>345</v>
      </c>
    </row>
    <row r="17" customFormat="false" ht="35.05" hidden="false" customHeight="false" outlineLevel="0" collapsed="false">
      <c r="A17" s="2" t="n">
        <v>16</v>
      </c>
      <c r="B17" s="3" t="s">
        <v>346</v>
      </c>
      <c r="C17" s="2" t="s">
        <v>347</v>
      </c>
      <c r="D17" s="2" t="s">
        <v>97</v>
      </c>
      <c r="E17" s="2" t="s">
        <v>348</v>
      </c>
      <c r="F17" s="2" t="s">
        <v>349</v>
      </c>
      <c r="G17" s="2" t="s">
        <v>350</v>
      </c>
      <c r="H17" s="2" t="s">
        <v>120</v>
      </c>
      <c r="I17" s="2" t="s">
        <v>121</v>
      </c>
      <c r="J17" s="2" t="s">
        <v>351</v>
      </c>
      <c r="K17" s="2" t="s">
        <v>352</v>
      </c>
      <c r="L17" s="2" t="s">
        <v>353</v>
      </c>
      <c r="M17" s="2" t="s">
        <v>354</v>
      </c>
      <c r="N17" s="2" t="s">
        <v>58</v>
      </c>
      <c r="O17" s="2" t="s">
        <v>59</v>
      </c>
      <c r="P17" s="2" t="s">
        <v>142</v>
      </c>
      <c r="Q17" s="2" t="s">
        <v>143</v>
      </c>
      <c r="R17" s="2" t="s">
        <v>355</v>
      </c>
      <c r="S17" s="2" t="s">
        <v>120</v>
      </c>
      <c r="T17" s="2" t="s">
        <v>121</v>
      </c>
      <c r="U17" s="2"/>
      <c r="V17" s="2" t="s">
        <v>351</v>
      </c>
      <c r="W17" s="2" t="s">
        <v>356</v>
      </c>
      <c r="X17" s="2" t="s">
        <v>357</v>
      </c>
      <c r="Y17" s="2" t="s">
        <v>353</v>
      </c>
      <c r="Z17" s="2" t="s">
        <v>358</v>
      </c>
      <c r="AA17" s="2" t="s">
        <v>359</v>
      </c>
      <c r="AB17" s="2" t="s">
        <v>360</v>
      </c>
      <c r="AC17" s="2" t="s">
        <v>361</v>
      </c>
      <c r="AD17" s="2" t="s">
        <v>362</v>
      </c>
      <c r="AE17" s="2" t="s">
        <v>61</v>
      </c>
      <c r="AF17" s="2" t="s">
        <v>60</v>
      </c>
      <c r="AG17" s="2" t="s">
        <v>60</v>
      </c>
      <c r="AH17" s="2" t="s">
        <v>60</v>
      </c>
      <c r="AI17" s="2" t="s">
        <v>62</v>
      </c>
      <c r="AJ17" s="2"/>
      <c r="AK17" s="2" t="s">
        <v>63</v>
      </c>
      <c r="AL17" s="2" t="s">
        <v>363</v>
      </c>
      <c r="AM17" s="2" t="s">
        <v>364</v>
      </c>
    </row>
    <row r="18" customFormat="false" ht="23.85" hidden="false" customHeight="false" outlineLevel="0" collapsed="false">
      <c r="A18" s="2" t="n">
        <v>17</v>
      </c>
      <c r="B18" s="3" t="s">
        <v>365</v>
      </c>
      <c r="C18" s="2" t="s">
        <v>366</v>
      </c>
      <c r="D18" s="2" t="s">
        <v>188</v>
      </c>
      <c r="E18" s="2" t="s">
        <v>367</v>
      </c>
      <c r="F18" s="2" t="s">
        <v>200</v>
      </c>
      <c r="G18" s="2" t="s">
        <v>269</v>
      </c>
      <c r="H18" s="2" t="s">
        <v>368</v>
      </c>
      <c r="I18" s="2" t="s">
        <v>369</v>
      </c>
      <c r="J18" s="2" t="s">
        <v>370</v>
      </c>
      <c r="K18" s="2" t="s">
        <v>371</v>
      </c>
      <c r="L18" s="2" t="s">
        <v>372</v>
      </c>
      <c r="M18" s="2" t="s">
        <v>373</v>
      </c>
      <c r="N18" s="2" t="s">
        <v>196</v>
      </c>
      <c r="O18" s="2" t="s">
        <v>197</v>
      </c>
      <c r="P18" s="2" t="s">
        <v>200</v>
      </c>
      <c r="Q18" s="2" t="s">
        <v>201</v>
      </c>
      <c r="R18" s="2" t="s">
        <v>374</v>
      </c>
      <c r="S18" s="2" t="s">
        <v>368</v>
      </c>
      <c r="T18" s="2" t="s">
        <v>369</v>
      </c>
      <c r="U18" s="2" t="s">
        <v>375</v>
      </c>
      <c r="V18" s="2" t="s">
        <v>370</v>
      </c>
      <c r="W18" s="2" t="s">
        <v>376</v>
      </c>
      <c r="X18" s="2" t="s">
        <v>377</v>
      </c>
      <c r="Y18" s="2" t="s">
        <v>372</v>
      </c>
      <c r="Z18" s="2" t="s">
        <v>378</v>
      </c>
      <c r="AA18" s="2" t="s">
        <v>379</v>
      </c>
      <c r="AB18" s="2" t="s">
        <v>196</v>
      </c>
      <c r="AC18" s="2" t="s">
        <v>197</v>
      </c>
      <c r="AD18" s="2" t="s">
        <v>83</v>
      </c>
      <c r="AE18" s="2" t="s">
        <v>60</v>
      </c>
      <c r="AF18" s="2" t="s">
        <v>60</v>
      </c>
      <c r="AG18" s="2" t="s">
        <v>60</v>
      </c>
      <c r="AH18" s="2" t="s">
        <v>60</v>
      </c>
      <c r="AI18" s="2" t="s">
        <v>60</v>
      </c>
      <c r="AJ18" s="2"/>
      <c r="AK18" s="2" t="s">
        <v>92</v>
      </c>
      <c r="AL18" s="2" t="s">
        <v>380</v>
      </c>
      <c r="AM18" s="2"/>
    </row>
    <row r="19" customFormat="false" ht="57.45" hidden="false" customHeight="false" outlineLevel="0" collapsed="false">
      <c r="A19" s="2" t="n">
        <v>18</v>
      </c>
      <c r="B19" s="3" t="s">
        <v>381</v>
      </c>
      <c r="C19" s="2" t="s">
        <v>382</v>
      </c>
      <c r="D19" s="2" t="s">
        <v>383</v>
      </c>
      <c r="E19" s="2" t="s">
        <v>384</v>
      </c>
      <c r="F19" s="2" t="s">
        <v>200</v>
      </c>
      <c r="G19" s="2" t="s">
        <v>269</v>
      </c>
      <c r="H19" s="2" t="s">
        <v>385</v>
      </c>
      <c r="I19" s="2" t="s">
        <v>386</v>
      </c>
      <c r="J19" s="2" t="s">
        <v>387</v>
      </c>
      <c r="K19" s="2" t="s">
        <v>388</v>
      </c>
      <c r="L19" s="2" t="s">
        <v>389</v>
      </c>
      <c r="M19" s="2" t="s">
        <v>390</v>
      </c>
      <c r="N19" s="2" t="s">
        <v>391</v>
      </c>
      <c r="O19" s="2" t="s">
        <v>392</v>
      </c>
      <c r="P19" s="2" t="s">
        <v>200</v>
      </c>
      <c r="Q19" s="2" t="s">
        <v>201</v>
      </c>
      <c r="R19" s="2" t="s">
        <v>393</v>
      </c>
      <c r="S19" s="2" t="s">
        <v>394</v>
      </c>
      <c r="T19" s="2" t="s">
        <v>395</v>
      </c>
      <c r="U19" s="2" t="s">
        <v>396</v>
      </c>
      <c r="V19" s="2" t="s">
        <v>387</v>
      </c>
      <c r="W19" s="2" t="s">
        <v>388</v>
      </c>
      <c r="X19" s="2" t="s">
        <v>397</v>
      </c>
      <c r="Y19" s="2" t="s">
        <v>389</v>
      </c>
      <c r="Z19" s="2" t="s">
        <v>398</v>
      </c>
      <c r="AA19" s="2" t="s">
        <v>399</v>
      </c>
      <c r="AB19" s="2" t="s">
        <v>400</v>
      </c>
      <c r="AC19" s="2" t="s">
        <v>401</v>
      </c>
      <c r="AD19" s="2" t="s">
        <v>402</v>
      </c>
      <c r="AE19" s="2" t="s">
        <v>90</v>
      </c>
      <c r="AF19" s="2" t="s">
        <v>90</v>
      </c>
      <c r="AG19" s="2" t="s">
        <v>60</v>
      </c>
      <c r="AH19" s="2" t="s">
        <v>60</v>
      </c>
      <c r="AI19" s="2" t="s">
        <v>61</v>
      </c>
      <c r="AJ19" s="2" t="s">
        <v>284</v>
      </c>
      <c r="AK19" s="2" t="s">
        <v>92</v>
      </c>
      <c r="AL19" s="2" t="s">
        <v>403</v>
      </c>
      <c r="AM19" s="2" t="s">
        <v>404</v>
      </c>
    </row>
    <row r="20" customFormat="false" ht="46.25" hidden="false" customHeight="false" outlineLevel="0" collapsed="false">
      <c r="A20" s="2" t="n">
        <v>19</v>
      </c>
      <c r="B20" s="3" t="s">
        <v>405</v>
      </c>
      <c r="C20" s="2" t="s">
        <v>406</v>
      </c>
      <c r="D20" s="2" t="s">
        <v>188</v>
      </c>
      <c r="E20" s="2" t="s">
        <v>407</v>
      </c>
      <c r="F20" s="2" t="s">
        <v>408</v>
      </c>
      <c r="G20" s="2" t="s">
        <v>409</v>
      </c>
      <c r="H20" s="2" t="s">
        <v>410</v>
      </c>
      <c r="I20" s="2" t="s">
        <v>411</v>
      </c>
      <c r="J20" s="2" t="s">
        <v>412</v>
      </c>
      <c r="K20" s="2" t="s">
        <v>413</v>
      </c>
      <c r="L20" s="2" t="s">
        <v>196</v>
      </c>
      <c r="M20" s="2" t="s">
        <v>197</v>
      </c>
      <c r="N20" s="2" t="s">
        <v>83</v>
      </c>
      <c r="O20" s="2" t="s">
        <v>238</v>
      </c>
      <c r="P20" s="2" t="s">
        <v>414</v>
      </c>
      <c r="Q20" s="2" t="s">
        <v>415</v>
      </c>
      <c r="R20" s="2" t="s">
        <v>416</v>
      </c>
      <c r="S20" s="2" t="s">
        <v>417</v>
      </c>
      <c r="T20" s="2" t="s">
        <v>418</v>
      </c>
      <c r="U20" s="2" t="s">
        <v>419</v>
      </c>
      <c r="V20" s="2" t="s">
        <v>194</v>
      </c>
      <c r="W20" s="2" t="s">
        <v>195</v>
      </c>
      <c r="X20" s="2" t="s">
        <v>420</v>
      </c>
      <c r="Y20" s="2" t="s">
        <v>196</v>
      </c>
      <c r="Z20" s="2" t="s">
        <v>197</v>
      </c>
      <c r="AA20" s="2" t="s">
        <v>206</v>
      </c>
      <c r="AB20" s="2" t="s">
        <v>83</v>
      </c>
      <c r="AC20" s="2" t="s">
        <v>148</v>
      </c>
      <c r="AD20" s="2" t="s">
        <v>421</v>
      </c>
      <c r="AE20" s="2" t="s">
        <v>62</v>
      </c>
      <c r="AF20" s="2" t="s">
        <v>62</v>
      </c>
      <c r="AG20" s="2" t="s">
        <v>62</v>
      </c>
      <c r="AH20" s="2" t="s">
        <v>60</v>
      </c>
      <c r="AI20" s="2" t="s">
        <v>60</v>
      </c>
      <c r="AJ20" s="2"/>
      <c r="AK20" s="2" t="s">
        <v>63</v>
      </c>
      <c r="AL20" s="2" t="s">
        <v>422</v>
      </c>
      <c r="AM20" s="2" t="s">
        <v>423</v>
      </c>
    </row>
    <row r="21" customFormat="false" ht="46.25" hidden="false" customHeight="false" outlineLevel="0" collapsed="false">
      <c r="A21" s="2" t="n">
        <v>20</v>
      </c>
      <c r="B21" s="3" t="s">
        <v>424</v>
      </c>
      <c r="C21" s="2" t="s">
        <v>425</v>
      </c>
      <c r="D21" s="2" t="s">
        <v>97</v>
      </c>
      <c r="E21" s="2" t="s">
        <v>426</v>
      </c>
      <c r="F21" s="2" t="s">
        <v>175</v>
      </c>
      <c r="G21" s="2" t="s">
        <v>176</v>
      </c>
      <c r="H21" s="2" t="s">
        <v>427</v>
      </c>
      <c r="I21" s="2" t="s">
        <v>428</v>
      </c>
      <c r="J21" s="2" t="s">
        <v>294</v>
      </c>
      <c r="K21" s="2" t="s">
        <v>295</v>
      </c>
      <c r="L21" s="2" t="s">
        <v>429</v>
      </c>
      <c r="M21" s="2" t="s">
        <v>430</v>
      </c>
      <c r="N21" s="2" t="s">
        <v>58</v>
      </c>
      <c r="O21" s="2" t="s">
        <v>59</v>
      </c>
      <c r="P21" s="2" t="s">
        <v>179</v>
      </c>
      <c r="Q21" s="2" t="s">
        <v>180</v>
      </c>
      <c r="R21" s="2" t="s">
        <v>431</v>
      </c>
      <c r="S21" s="2" t="s">
        <v>432</v>
      </c>
      <c r="T21" s="2" t="s">
        <v>433</v>
      </c>
      <c r="U21" s="2" t="s">
        <v>434</v>
      </c>
      <c r="V21" s="2" t="s">
        <v>435</v>
      </c>
      <c r="W21" s="2" t="s">
        <v>436</v>
      </c>
      <c r="X21" s="2" t="s">
        <v>437</v>
      </c>
      <c r="Y21" s="2" t="s">
        <v>429</v>
      </c>
      <c r="Z21" s="2" t="s">
        <v>438</v>
      </c>
      <c r="AA21" s="2" t="s">
        <v>439</v>
      </c>
      <c r="AB21" s="2" t="s">
        <v>58</v>
      </c>
      <c r="AC21" s="2" t="s">
        <v>59</v>
      </c>
      <c r="AD21" s="2"/>
      <c r="AE21" s="2" t="s">
        <v>61</v>
      </c>
      <c r="AF21" s="2" t="s">
        <v>62</v>
      </c>
      <c r="AG21" s="2" t="s">
        <v>136</v>
      </c>
      <c r="AH21" s="2" t="s">
        <v>60</v>
      </c>
      <c r="AI21" s="2" t="s">
        <v>60</v>
      </c>
      <c r="AJ21" s="2"/>
      <c r="AK21" s="2" t="s">
        <v>63</v>
      </c>
      <c r="AL21" s="2" t="s">
        <v>440</v>
      </c>
      <c r="AM21" s="2" t="s">
        <v>441</v>
      </c>
    </row>
    <row r="22" customFormat="false" ht="46.25" hidden="false" customHeight="false" outlineLevel="0" collapsed="false">
      <c r="A22" s="2" t="n">
        <v>21</v>
      </c>
      <c r="B22" s="3" t="s">
        <v>442</v>
      </c>
      <c r="C22" s="2" t="s">
        <v>443</v>
      </c>
      <c r="D22" s="2" t="s">
        <v>188</v>
      </c>
      <c r="E22" s="2" t="s">
        <v>444</v>
      </c>
      <c r="F22" s="2" t="s">
        <v>445</v>
      </c>
      <c r="G22" s="2" t="s">
        <v>446</v>
      </c>
      <c r="H22" s="2" t="s">
        <v>447</v>
      </c>
      <c r="I22" s="2" t="s">
        <v>448</v>
      </c>
      <c r="J22" s="2" t="s">
        <v>194</v>
      </c>
      <c r="K22" s="2" t="s">
        <v>195</v>
      </c>
      <c r="L22" s="2" t="s">
        <v>196</v>
      </c>
      <c r="M22" s="2" t="s">
        <v>197</v>
      </c>
      <c r="N22" s="2" t="s">
        <v>449</v>
      </c>
      <c r="O22" s="2" t="s">
        <v>450</v>
      </c>
      <c r="P22" s="2" t="s">
        <v>445</v>
      </c>
      <c r="Q22" s="2" t="s">
        <v>446</v>
      </c>
      <c r="R22" s="2" t="s">
        <v>451</v>
      </c>
      <c r="S22" s="2" t="s">
        <v>447</v>
      </c>
      <c r="T22" s="2" t="s">
        <v>448</v>
      </c>
      <c r="U22" s="2" t="s">
        <v>452</v>
      </c>
      <c r="V22" s="2" t="s">
        <v>453</v>
      </c>
      <c r="W22" s="2" t="s">
        <v>454</v>
      </c>
      <c r="X22" s="2" t="s">
        <v>455</v>
      </c>
      <c r="Y22" s="2" t="s">
        <v>449</v>
      </c>
      <c r="Z22" s="2" t="s">
        <v>450</v>
      </c>
      <c r="AA22" s="2" t="s">
        <v>456</v>
      </c>
      <c r="AB22" s="2" t="s">
        <v>196</v>
      </c>
      <c r="AC22" s="2" t="s">
        <v>197</v>
      </c>
      <c r="AD22" s="2" t="s">
        <v>457</v>
      </c>
      <c r="AE22" s="2" t="s">
        <v>60</v>
      </c>
      <c r="AF22" s="2" t="s">
        <v>60</v>
      </c>
      <c r="AG22" s="2" t="s">
        <v>62</v>
      </c>
      <c r="AH22" s="2" t="s">
        <v>62</v>
      </c>
      <c r="AI22" s="2" t="s">
        <v>62</v>
      </c>
      <c r="AJ22" s="2"/>
      <c r="AK22" s="2" t="s">
        <v>63</v>
      </c>
      <c r="AL22" s="2" t="s">
        <v>458</v>
      </c>
      <c r="AM22" s="2" t="s">
        <v>459</v>
      </c>
    </row>
    <row r="23" customFormat="false" ht="23.85" hidden="false" customHeight="false" outlineLevel="0" collapsed="false">
      <c r="A23" s="2" t="n">
        <v>22</v>
      </c>
      <c r="B23" s="3" t="s">
        <v>460</v>
      </c>
      <c r="C23" s="2" t="s">
        <v>461</v>
      </c>
      <c r="D23" s="2" t="s">
        <v>97</v>
      </c>
      <c r="E23" s="2" t="s">
        <v>462</v>
      </c>
      <c r="F23" s="2" t="s">
        <v>200</v>
      </c>
      <c r="G23" s="2" t="s">
        <v>269</v>
      </c>
      <c r="H23" s="2" t="s">
        <v>463</v>
      </c>
      <c r="I23" s="2" t="s">
        <v>464</v>
      </c>
      <c r="J23" s="2" t="s">
        <v>437</v>
      </c>
      <c r="K23" s="2" t="s">
        <v>465</v>
      </c>
      <c r="L23" s="2" t="s">
        <v>466</v>
      </c>
      <c r="M23" s="2" t="s">
        <v>467</v>
      </c>
      <c r="N23" s="2" t="s">
        <v>58</v>
      </c>
      <c r="O23" s="2" t="s">
        <v>59</v>
      </c>
      <c r="P23" s="2" t="s">
        <v>200</v>
      </c>
      <c r="Q23" s="2" t="s">
        <v>201</v>
      </c>
      <c r="R23" s="2" t="s">
        <v>468</v>
      </c>
      <c r="S23" s="2" t="s">
        <v>463</v>
      </c>
      <c r="T23" s="2" t="s">
        <v>469</v>
      </c>
      <c r="U23" s="2" t="s">
        <v>470</v>
      </c>
      <c r="V23" s="2" t="s">
        <v>435</v>
      </c>
      <c r="W23" s="2" t="s">
        <v>436</v>
      </c>
      <c r="X23" s="2" t="s">
        <v>471</v>
      </c>
      <c r="Y23" s="2" t="s">
        <v>466</v>
      </c>
      <c r="Z23" s="2" t="s">
        <v>472</v>
      </c>
      <c r="AA23" s="2" t="s">
        <v>473</v>
      </c>
      <c r="AB23" s="2" t="s">
        <v>58</v>
      </c>
      <c r="AC23" s="2" t="s">
        <v>59</v>
      </c>
      <c r="AD23" s="2"/>
      <c r="AE23" s="2" t="s">
        <v>90</v>
      </c>
      <c r="AF23" s="2" t="s">
        <v>60</v>
      </c>
      <c r="AG23" s="2" t="s">
        <v>61</v>
      </c>
      <c r="AH23" s="2" t="s">
        <v>60</v>
      </c>
      <c r="AI23" s="2" t="s">
        <v>60</v>
      </c>
      <c r="AJ23" s="2" t="s">
        <v>284</v>
      </c>
      <c r="AK23" s="2" t="s">
        <v>92</v>
      </c>
      <c r="AL23" s="2" t="s">
        <v>474</v>
      </c>
      <c r="AM23" s="2" t="s">
        <v>475</v>
      </c>
    </row>
    <row r="24" customFormat="false" ht="23.85" hidden="false" customHeight="false" outlineLevel="0" collapsed="false">
      <c r="A24" s="2" t="n">
        <v>23</v>
      </c>
      <c r="B24" s="3" t="s">
        <v>476</v>
      </c>
      <c r="C24" s="2" t="s">
        <v>477</v>
      </c>
      <c r="D24" s="2" t="s">
        <v>383</v>
      </c>
      <c r="E24" s="2" t="s">
        <v>478</v>
      </c>
      <c r="F24" s="2" t="s">
        <v>179</v>
      </c>
      <c r="G24" s="2" t="s">
        <v>233</v>
      </c>
      <c r="H24" s="2" t="s">
        <v>427</v>
      </c>
      <c r="I24" s="2" t="s">
        <v>428</v>
      </c>
      <c r="J24" s="2" t="s">
        <v>387</v>
      </c>
      <c r="K24" s="2" t="s">
        <v>388</v>
      </c>
      <c r="L24" s="2" t="s">
        <v>219</v>
      </c>
      <c r="M24" s="2" t="s">
        <v>220</v>
      </c>
      <c r="N24" s="2" t="s">
        <v>479</v>
      </c>
      <c r="O24" s="2" t="s">
        <v>480</v>
      </c>
      <c r="P24" s="2" t="s">
        <v>179</v>
      </c>
      <c r="Q24" s="2" t="s">
        <v>180</v>
      </c>
      <c r="R24" s="2" t="s">
        <v>481</v>
      </c>
      <c r="S24" s="2" t="s">
        <v>427</v>
      </c>
      <c r="T24" s="2" t="s">
        <v>428</v>
      </c>
      <c r="U24" s="2" t="s">
        <v>482</v>
      </c>
      <c r="V24" s="2" t="s">
        <v>387</v>
      </c>
      <c r="W24" s="2" t="s">
        <v>388</v>
      </c>
      <c r="X24" s="2" t="s">
        <v>483</v>
      </c>
      <c r="Y24" s="2" t="s">
        <v>219</v>
      </c>
      <c r="Z24" s="2" t="s">
        <v>225</v>
      </c>
      <c r="AA24" s="2" t="s">
        <v>484</v>
      </c>
      <c r="AB24" s="2" t="s">
        <v>479</v>
      </c>
      <c r="AC24" s="2" t="s">
        <v>480</v>
      </c>
      <c r="AD24" s="2" t="s">
        <v>485</v>
      </c>
      <c r="AE24" s="2" t="s">
        <v>60</v>
      </c>
      <c r="AF24" s="2" t="s">
        <v>60</v>
      </c>
      <c r="AG24" s="2" t="s">
        <v>60</v>
      </c>
      <c r="AH24" s="2" t="s">
        <v>60</v>
      </c>
      <c r="AI24" s="2" t="s">
        <v>60</v>
      </c>
      <c r="AJ24" s="2"/>
      <c r="AK24" s="2" t="s">
        <v>92</v>
      </c>
      <c r="AL24" s="2" t="s">
        <v>486</v>
      </c>
      <c r="AM24" s="2"/>
    </row>
    <row r="25" customFormat="false" ht="23.85" hidden="false" customHeight="false" outlineLevel="0" collapsed="false">
      <c r="A25" s="2" t="n">
        <v>24</v>
      </c>
      <c r="B25" s="3" t="s">
        <v>487</v>
      </c>
      <c r="C25" s="2" t="s">
        <v>488</v>
      </c>
      <c r="D25" s="2" t="s">
        <v>188</v>
      </c>
      <c r="E25" s="2" t="s">
        <v>489</v>
      </c>
      <c r="F25" s="2" t="s">
        <v>490</v>
      </c>
      <c r="G25" s="2" t="s">
        <v>491</v>
      </c>
      <c r="H25" s="2" t="s">
        <v>492</v>
      </c>
      <c r="I25" s="2" t="s">
        <v>493</v>
      </c>
      <c r="J25" s="2" t="s">
        <v>370</v>
      </c>
      <c r="K25" s="2" t="s">
        <v>371</v>
      </c>
      <c r="L25" s="2" t="s">
        <v>494</v>
      </c>
      <c r="M25" s="2" t="s">
        <v>495</v>
      </c>
      <c r="N25" s="2" t="s">
        <v>496</v>
      </c>
      <c r="O25" s="2" t="s">
        <v>497</v>
      </c>
      <c r="P25" s="2" t="s">
        <v>80</v>
      </c>
      <c r="Q25" s="2" t="s">
        <v>81</v>
      </c>
      <c r="R25" s="2" t="s">
        <v>498</v>
      </c>
      <c r="S25" s="2" t="s">
        <v>492</v>
      </c>
      <c r="T25" s="2" t="s">
        <v>499</v>
      </c>
      <c r="U25" s="2" t="s">
        <v>500</v>
      </c>
      <c r="V25" s="2" t="s">
        <v>370</v>
      </c>
      <c r="W25" s="2" t="s">
        <v>376</v>
      </c>
      <c r="X25" s="2" t="s">
        <v>501</v>
      </c>
      <c r="Y25" s="2" t="s">
        <v>494</v>
      </c>
      <c r="Z25" s="2" t="s">
        <v>495</v>
      </c>
      <c r="AA25" s="2" t="s">
        <v>502</v>
      </c>
      <c r="AB25" s="2" t="s">
        <v>496</v>
      </c>
      <c r="AC25" s="2" t="s">
        <v>497</v>
      </c>
      <c r="AD25" s="2" t="s">
        <v>503</v>
      </c>
      <c r="AE25" s="2" t="s">
        <v>61</v>
      </c>
      <c r="AF25" s="2" t="s">
        <v>60</v>
      </c>
      <c r="AG25" s="2" t="s">
        <v>60</v>
      </c>
      <c r="AH25" s="2" t="s">
        <v>60</v>
      </c>
      <c r="AI25" s="2" t="s">
        <v>60</v>
      </c>
      <c r="AJ25" s="2"/>
      <c r="AK25" s="2" t="s">
        <v>63</v>
      </c>
      <c r="AL25" s="2" t="s">
        <v>504</v>
      </c>
      <c r="AM25" s="2" t="s">
        <v>505</v>
      </c>
    </row>
    <row r="26" customFormat="false" ht="35.05" hidden="false" customHeight="false" outlineLevel="0" collapsed="false">
      <c r="A26" s="2" t="n">
        <v>25</v>
      </c>
      <c r="B26" s="3" t="s">
        <v>506</v>
      </c>
      <c r="C26" s="2" t="s">
        <v>507</v>
      </c>
      <c r="D26" s="2" t="s">
        <v>508</v>
      </c>
      <c r="E26" s="2" t="s">
        <v>509</v>
      </c>
      <c r="F26" s="2" t="s">
        <v>510</v>
      </c>
      <c r="G26" s="2" t="s">
        <v>511</v>
      </c>
      <c r="H26" s="2" t="s">
        <v>192</v>
      </c>
      <c r="I26" s="2" t="s">
        <v>193</v>
      </c>
      <c r="J26" s="2" t="s">
        <v>512</v>
      </c>
      <c r="K26" s="2" t="s">
        <v>513</v>
      </c>
      <c r="L26" s="2" t="s">
        <v>514</v>
      </c>
      <c r="M26" s="2" t="s">
        <v>515</v>
      </c>
      <c r="N26" s="2" t="s">
        <v>58</v>
      </c>
      <c r="O26" s="2" t="s">
        <v>59</v>
      </c>
      <c r="P26" s="2" t="s">
        <v>510</v>
      </c>
      <c r="Q26" s="2" t="s">
        <v>516</v>
      </c>
      <c r="R26" s="2" t="s">
        <v>517</v>
      </c>
      <c r="S26" s="2" t="s">
        <v>192</v>
      </c>
      <c r="T26" s="2" t="s">
        <v>193</v>
      </c>
      <c r="U26" s="2" t="s">
        <v>518</v>
      </c>
      <c r="V26" s="2" t="s">
        <v>519</v>
      </c>
      <c r="W26" s="2" t="s">
        <v>520</v>
      </c>
      <c r="X26" s="2" t="s">
        <v>521</v>
      </c>
      <c r="Y26" s="2" t="s">
        <v>522</v>
      </c>
      <c r="Z26" s="2" t="s">
        <v>523</v>
      </c>
      <c r="AA26" s="2" t="s">
        <v>524</v>
      </c>
      <c r="AB26" s="2" t="s">
        <v>58</v>
      </c>
      <c r="AC26" s="2" t="s">
        <v>59</v>
      </c>
      <c r="AD26" s="2"/>
      <c r="AE26" s="2" t="s">
        <v>60</v>
      </c>
      <c r="AF26" s="2" t="s">
        <v>60</v>
      </c>
      <c r="AG26" s="2" t="s">
        <v>62</v>
      </c>
      <c r="AH26" s="2" t="s">
        <v>62</v>
      </c>
      <c r="AI26" s="2" t="s">
        <v>60</v>
      </c>
      <c r="AJ26" s="2"/>
      <c r="AK26" s="2" t="s">
        <v>63</v>
      </c>
      <c r="AL26" s="2" t="s">
        <v>525</v>
      </c>
      <c r="AM26" s="2" t="s">
        <v>526</v>
      </c>
    </row>
    <row r="27" customFormat="false" ht="46.25" hidden="false" customHeight="false" outlineLevel="0" collapsed="false">
      <c r="A27" s="2" t="n">
        <v>26</v>
      </c>
      <c r="B27" s="3" t="s">
        <v>527</v>
      </c>
      <c r="C27" s="2" t="s">
        <v>528</v>
      </c>
      <c r="D27" s="2" t="s">
        <v>508</v>
      </c>
      <c r="E27" s="2" t="s">
        <v>529</v>
      </c>
      <c r="F27" s="2" t="s">
        <v>200</v>
      </c>
      <c r="G27" s="2" t="s">
        <v>269</v>
      </c>
      <c r="H27" s="2" t="s">
        <v>447</v>
      </c>
      <c r="I27" s="2" t="s">
        <v>448</v>
      </c>
      <c r="J27" s="2" t="s">
        <v>530</v>
      </c>
      <c r="K27" s="2" t="s">
        <v>531</v>
      </c>
      <c r="L27" s="2" t="s">
        <v>532</v>
      </c>
      <c r="M27" s="2" t="s">
        <v>533</v>
      </c>
      <c r="N27" s="2" t="s">
        <v>534</v>
      </c>
      <c r="O27" s="2" t="s">
        <v>535</v>
      </c>
      <c r="P27" s="2" t="s">
        <v>200</v>
      </c>
      <c r="Q27" s="2" t="s">
        <v>201</v>
      </c>
      <c r="R27" s="2" t="s">
        <v>536</v>
      </c>
      <c r="S27" s="2" t="s">
        <v>447</v>
      </c>
      <c r="T27" s="2" t="s">
        <v>448</v>
      </c>
      <c r="U27" s="2" t="s">
        <v>537</v>
      </c>
      <c r="V27" s="2" t="s">
        <v>538</v>
      </c>
      <c r="W27" s="2" t="s">
        <v>539</v>
      </c>
      <c r="X27" s="2" t="s">
        <v>540</v>
      </c>
      <c r="Y27" s="2" t="s">
        <v>534</v>
      </c>
      <c r="Z27" s="2" t="s">
        <v>535</v>
      </c>
      <c r="AA27" s="2" t="s">
        <v>541</v>
      </c>
      <c r="AB27" s="2" t="s">
        <v>542</v>
      </c>
      <c r="AC27" s="2" t="s">
        <v>543</v>
      </c>
      <c r="AD27" s="2" t="s">
        <v>58</v>
      </c>
      <c r="AE27" s="2" t="s">
        <v>60</v>
      </c>
      <c r="AF27" s="2" t="s">
        <v>60</v>
      </c>
      <c r="AG27" s="2" t="s">
        <v>90</v>
      </c>
      <c r="AH27" s="2" t="s">
        <v>62</v>
      </c>
      <c r="AI27" s="2" t="s">
        <v>62</v>
      </c>
      <c r="AJ27" s="2"/>
      <c r="AK27" s="2" t="s">
        <v>63</v>
      </c>
      <c r="AL27" s="2" t="s">
        <v>544</v>
      </c>
      <c r="AM27" s="2" t="s">
        <v>545</v>
      </c>
    </row>
    <row r="28" customFormat="false" ht="46.25" hidden="false" customHeight="false" outlineLevel="0" collapsed="false">
      <c r="A28" s="2" t="n">
        <v>27</v>
      </c>
      <c r="B28" s="3" t="s">
        <v>546</v>
      </c>
      <c r="C28" s="2" t="s">
        <v>547</v>
      </c>
      <c r="D28" s="2" t="s">
        <v>97</v>
      </c>
      <c r="E28" s="2" t="s">
        <v>548</v>
      </c>
      <c r="F28" s="2" t="s">
        <v>549</v>
      </c>
      <c r="G28" s="2" t="s">
        <v>550</v>
      </c>
      <c r="H28" s="2" t="s">
        <v>551</v>
      </c>
      <c r="I28" s="2" t="s">
        <v>552</v>
      </c>
      <c r="J28" s="2" t="s">
        <v>319</v>
      </c>
      <c r="K28" s="2" t="s">
        <v>553</v>
      </c>
      <c r="L28" s="2" t="s">
        <v>554</v>
      </c>
      <c r="M28" s="2" t="s">
        <v>555</v>
      </c>
      <c r="N28" s="2" t="s">
        <v>556</v>
      </c>
      <c r="O28" s="2" t="s">
        <v>557</v>
      </c>
      <c r="P28" s="2" t="s">
        <v>549</v>
      </c>
      <c r="Q28" s="2" t="s">
        <v>550</v>
      </c>
      <c r="R28" s="2"/>
      <c r="S28" s="2" t="s">
        <v>558</v>
      </c>
      <c r="T28" s="2" t="s">
        <v>559</v>
      </c>
      <c r="U28" s="2" t="s">
        <v>560</v>
      </c>
      <c r="V28" s="2" t="s">
        <v>319</v>
      </c>
      <c r="W28" s="2" t="s">
        <v>320</v>
      </c>
      <c r="X28" s="2" t="s">
        <v>561</v>
      </c>
      <c r="Y28" s="2" t="s">
        <v>554</v>
      </c>
      <c r="Z28" s="2" t="s">
        <v>555</v>
      </c>
      <c r="AA28" s="2" t="s">
        <v>562</v>
      </c>
      <c r="AB28" s="2" t="s">
        <v>563</v>
      </c>
      <c r="AC28" s="2" t="s">
        <v>564</v>
      </c>
      <c r="AD28" s="2" t="s">
        <v>83</v>
      </c>
      <c r="AE28" s="2" t="s">
        <v>60</v>
      </c>
      <c r="AF28" s="2" t="s">
        <v>62</v>
      </c>
      <c r="AG28" s="2" t="s">
        <v>60</v>
      </c>
      <c r="AH28" s="2" t="s">
        <v>60</v>
      </c>
      <c r="AI28" s="2" t="s">
        <v>62</v>
      </c>
      <c r="AJ28" s="2"/>
      <c r="AK28" s="2" t="s">
        <v>92</v>
      </c>
      <c r="AL28" s="2" t="s">
        <v>565</v>
      </c>
      <c r="AM28" s="2" t="s">
        <v>566</v>
      </c>
    </row>
    <row r="29" customFormat="false" ht="35.05" hidden="false" customHeight="false" outlineLevel="0" collapsed="false">
      <c r="A29" s="2" t="n">
        <v>28</v>
      </c>
      <c r="B29" s="3" t="s">
        <v>567</v>
      </c>
      <c r="C29" s="2" t="s">
        <v>406</v>
      </c>
      <c r="D29" s="2" t="s">
        <v>41</v>
      </c>
      <c r="E29" s="2" t="s">
        <v>568</v>
      </c>
      <c r="F29" s="2" t="s">
        <v>569</v>
      </c>
      <c r="G29" s="2" t="s">
        <v>570</v>
      </c>
      <c r="H29" s="2" t="s">
        <v>571</v>
      </c>
      <c r="I29" s="2" t="s">
        <v>572</v>
      </c>
      <c r="J29" s="2" t="s">
        <v>260</v>
      </c>
      <c r="K29" s="2" t="s">
        <v>261</v>
      </c>
      <c r="L29" s="2" t="s">
        <v>573</v>
      </c>
      <c r="M29" s="2" t="s">
        <v>574</v>
      </c>
      <c r="N29" s="2" t="s">
        <v>58</v>
      </c>
      <c r="O29" s="2" t="s">
        <v>59</v>
      </c>
      <c r="P29" s="2" t="s">
        <v>118</v>
      </c>
      <c r="Q29" s="2" t="s">
        <v>128</v>
      </c>
      <c r="R29" s="2" t="s">
        <v>575</v>
      </c>
      <c r="S29" s="2" t="s">
        <v>571</v>
      </c>
      <c r="T29" s="2" t="s">
        <v>576</v>
      </c>
      <c r="U29" s="2" t="s">
        <v>577</v>
      </c>
      <c r="V29" s="2" t="s">
        <v>260</v>
      </c>
      <c r="W29" s="2" t="s">
        <v>261</v>
      </c>
      <c r="X29" s="2" t="s">
        <v>578</v>
      </c>
      <c r="Y29" s="2" t="s">
        <v>573</v>
      </c>
      <c r="Z29" s="2" t="s">
        <v>579</v>
      </c>
      <c r="AA29" s="2" t="s">
        <v>580</v>
      </c>
      <c r="AB29" s="2" t="s">
        <v>58</v>
      </c>
      <c r="AC29" s="2" t="s">
        <v>59</v>
      </c>
      <c r="AD29" s="2"/>
      <c r="AE29" s="2" t="s">
        <v>62</v>
      </c>
      <c r="AF29" s="2" t="s">
        <v>60</v>
      </c>
      <c r="AG29" s="2" t="s">
        <v>60</v>
      </c>
      <c r="AH29" s="2" t="s">
        <v>60</v>
      </c>
      <c r="AI29" s="2" t="s">
        <v>60</v>
      </c>
      <c r="AJ29" s="2"/>
      <c r="AK29" s="2" t="s">
        <v>63</v>
      </c>
      <c r="AL29" s="2" t="s">
        <v>581</v>
      </c>
      <c r="AM29" s="2" t="s">
        <v>582</v>
      </c>
    </row>
    <row r="30" customFormat="false" ht="23.85" hidden="false" customHeight="false" outlineLevel="0" collapsed="false">
      <c r="A30" s="2" t="n">
        <v>29</v>
      </c>
      <c r="B30" s="3" t="s">
        <v>583</v>
      </c>
      <c r="C30" s="2" t="s">
        <v>584</v>
      </c>
      <c r="D30" s="2" t="s">
        <v>214</v>
      </c>
      <c r="E30" s="2" t="s">
        <v>585</v>
      </c>
      <c r="F30" s="2" t="s">
        <v>200</v>
      </c>
      <c r="G30" s="2" t="s">
        <v>269</v>
      </c>
      <c r="H30" s="2" t="s">
        <v>586</v>
      </c>
      <c r="I30" s="2" t="s">
        <v>587</v>
      </c>
      <c r="J30" s="2" t="s">
        <v>83</v>
      </c>
      <c r="K30" s="2" t="s">
        <v>218</v>
      </c>
      <c r="L30" s="2" t="s">
        <v>83</v>
      </c>
      <c r="M30" s="2" t="s">
        <v>238</v>
      </c>
      <c r="N30" s="2" t="s">
        <v>588</v>
      </c>
      <c r="O30" s="2" t="s">
        <v>589</v>
      </c>
      <c r="P30" s="2" t="s">
        <v>200</v>
      </c>
      <c r="Q30" s="2" t="s">
        <v>201</v>
      </c>
      <c r="R30" s="2" t="s">
        <v>590</v>
      </c>
      <c r="S30" s="2" t="s">
        <v>586</v>
      </c>
      <c r="T30" s="2" t="s">
        <v>587</v>
      </c>
      <c r="U30" s="2"/>
      <c r="V30" s="2" t="s">
        <v>83</v>
      </c>
      <c r="W30" s="2" t="s">
        <v>146</v>
      </c>
      <c r="X30" s="2" t="s">
        <v>591</v>
      </c>
      <c r="Y30" s="2" t="s">
        <v>83</v>
      </c>
      <c r="Z30" s="2" t="s">
        <v>148</v>
      </c>
      <c r="AA30" s="2" t="s">
        <v>592</v>
      </c>
      <c r="AB30" s="2" t="s">
        <v>83</v>
      </c>
      <c r="AC30" s="2" t="s">
        <v>148</v>
      </c>
      <c r="AD30" s="2" t="s">
        <v>58</v>
      </c>
      <c r="AE30" s="2" t="s">
        <v>60</v>
      </c>
      <c r="AF30" s="2" t="s">
        <v>60</v>
      </c>
      <c r="AG30" s="2" t="s">
        <v>90</v>
      </c>
      <c r="AH30" s="2" t="s">
        <v>90</v>
      </c>
      <c r="AI30" s="2" t="s">
        <v>90</v>
      </c>
      <c r="AJ30" s="2" t="s">
        <v>150</v>
      </c>
      <c r="AK30" s="2" t="s">
        <v>92</v>
      </c>
      <c r="AL30" s="2" t="s">
        <v>593</v>
      </c>
      <c r="AM30" s="2" t="s">
        <v>594</v>
      </c>
    </row>
    <row r="31" customFormat="false" ht="35.05" hidden="false" customHeight="false" outlineLevel="0" collapsed="false">
      <c r="A31" s="2" t="n">
        <v>30</v>
      </c>
      <c r="B31" s="3" t="s">
        <v>595</v>
      </c>
      <c r="C31" s="2" t="s">
        <v>596</v>
      </c>
      <c r="D31" s="2" t="s">
        <v>41</v>
      </c>
      <c r="E31" s="2" t="s">
        <v>597</v>
      </c>
      <c r="F31" s="2" t="s">
        <v>598</v>
      </c>
      <c r="G31" s="2" t="s">
        <v>599</v>
      </c>
      <c r="H31" s="2" t="s">
        <v>97</v>
      </c>
      <c r="I31" s="2" t="s">
        <v>600</v>
      </c>
      <c r="J31" s="2" t="s">
        <v>601</v>
      </c>
      <c r="K31" s="2" t="s">
        <v>602</v>
      </c>
      <c r="L31" s="2" t="s">
        <v>603</v>
      </c>
      <c r="M31" s="2" t="s">
        <v>604</v>
      </c>
      <c r="N31" s="2" t="s">
        <v>58</v>
      </c>
      <c r="O31" s="2" t="s">
        <v>59</v>
      </c>
      <c r="P31" s="2" t="s">
        <v>598</v>
      </c>
      <c r="Q31" s="2" t="s">
        <v>605</v>
      </c>
      <c r="R31" s="2" t="s">
        <v>606</v>
      </c>
      <c r="S31" s="2" t="s">
        <v>97</v>
      </c>
      <c r="T31" s="2" t="s">
        <v>600</v>
      </c>
      <c r="U31" s="2" t="s">
        <v>607</v>
      </c>
      <c r="V31" s="2" t="s">
        <v>601</v>
      </c>
      <c r="W31" s="2" t="s">
        <v>608</v>
      </c>
      <c r="X31" s="2" t="s">
        <v>609</v>
      </c>
      <c r="Y31" s="2" t="s">
        <v>603</v>
      </c>
      <c r="Z31" s="2" t="s">
        <v>604</v>
      </c>
      <c r="AA31" s="2" t="s">
        <v>610</v>
      </c>
      <c r="AB31" s="2" t="s">
        <v>611</v>
      </c>
      <c r="AC31" s="2" t="s">
        <v>612</v>
      </c>
      <c r="AD31" s="2" t="s">
        <v>613</v>
      </c>
      <c r="AE31" s="2" t="s">
        <v>60</v>
      </c>
      <c r="AF31" s="2" t="s">
        <v>60</v>
      </c>
      <c r="AG31" s="2" t="s">
        <v>60</v>
      </c>
      <c r="AH31" s="2" t="s">
        <v>60</v>
      </c>
      <c r="AI31" s="2" t="s">
        <v>62</v>
      </c>
      <c r="AJ31" s="2"/>
      <c r="AK31" s="2" t="s">
        <v>63</v>
      </c>
      <c r="AL31" s="2" t="s">
        <v>614</v>
      </c>
      <c r="AM31" s="2" t="s">
        <v>615</v>
      </c>
    </row>
    <row r="32" customFormat="false" ht="57.45" hidden="false" customHeight="false" outlineLevel="0" collapsed="false">
      <c r="A32" s="2" t="n">
        <v>31</v>
      </c>
      <c r="B32" s="3" t="s">
        <v>616</v>
      </c>
      <c r="C32" s="2" t="s">
        <v>617</v>
      </c>
      <c r="D32" s="2" t="s">
        <v>97</v>
      </c>
      <c r="E32" s="2" t="s">
        <v>618</v>
      </c>
      <c r="F32" s="2" t="s">
        <v>619</v>
      </c>
      <c r="G32" s="2" t="s">
        <v>620</v>
      </c>
      <c r="H32" s="2" t="s">
        <v>157</v>
      </c>
      <c r="I32" s="2" t="s">
        <v>158</v>
      </c>
      <c r="J32" s="2" t="s">
        <v>435</v>
      </c>
      <c r="K32" s="2" t="s">
        <v>621</v>
      </c>
      <c r="L32" s="2" t="s">
        <v>622</v>
      </c>
      <c r="M32" s="2" t="s">
        <v>623</v>
      </c>
      <c r="N32" s="2" t="s">
        <v>83</v>
      </c>
      <c r="O32" s="2" t="s">
        <v>238</v>
      </c>
      <c r="P32" s="2" t="s">
        <v>624</v>
      </c>
      <c r="Q32" s="2" t="s">
        <v>625</v>
      </c>
      <c r="R32" s="2" t="s">
        <v>626</v>
      </c>
      <c r="S32" s="2" t="s">
        <v>157</v>
      </c>
      <c r="T32" s="2" t="s">
        <v>165</v>
      </c>
      <c r="U32" s="2" t="s">
        <v>627</v>
      </c>
      <c r="V32" s="2" t="s">
        <v>294</v>
      </c>
      <c r="W32" s="2" t="s">
        <v>628</v>
      </c>
      <c r="X32" s="2" t="s">
        <v>629</v>
      </c>
      <c r="Y32" s="2" t="s">
        <v>630</v>
      </c>
      <c r="Z32" s="2" t="s">
        <v>631</v>
      </c>
      <c r="AA32" s="2" t="s">
        <v>632</v>
      </c>
      <c r="AB32" s="2" t="s">
        <v>58</v>
      </c>
      <c r="AC32" s="2" t="s">
        <v>59</v>
      </c>
      <c r="AD32" s="2"/>
      <c r="AE32" s="2" t="s">
        <v>62</v>
      </c>
      <c r="AF32" s="2" t="s">
        <v>60</v>
      </c>
      <c r="AG32" s="2" t="s">
        <v>227</v>
      </c>
      <c r="AH32" s="2" t="s">
        <v>227</v>
      </c>
      <c r="AI32" s="2" t="s">
        <v>90</v>
      </c>
      <c r="AJ32" s="2"/>
      <c r="AK32" s="2" t="s">
        <v>63</v>
      </c>
      <c r="AL32" s="2" t="s">
        <v>633</v>
      </c>
      <c r="AM32" s="2" t="s">
        <v>634</v>
      </c>
    </row>
    <row r="33" customFormat="false" ht="68.65" hidden="false" customHeight="false" outlineLevel="0" collapsed="false">
      <c r="A33" s="2" t="n">
        <v>32</v>
      </c>
      <c r="B33" s="3" t="s">
        <v>635</v>
      </c>
      <c r="C33" s="2" t="s">
        <v>636</v>
      </c>
      <c r="D33" s="2" t="s">
        <v>188</v>
      </c>
      <c r="E33" s="2" t="s">
        <v>637</v>
      </c>
      <c r="F33" s="2" t="s">
        <v>638</v>
      </c>
      <c r="G33" s="2" t="s">
        <v>639</v>
      </c>
      <c r="H33" s="2" t="s">
        <v>192</v>
      </c>
      <c r="I33" s="2" t="s">
        <v>193</v>
      </c>
      <c r="J33" s="2" t="s">
        <v>640</v>
      </c>
      <c r="K33" s="2" t="s">
        <v>641</v>
      </c>
      <c r="L33" s="2" t="s">
        <v>391</v>
      </c>
      <c r="M33" s="2" t="s">
        <v>392</v>
      </c>
      <c r="N33" s="2" t="s">
        <v>642</v>
      </c>
      <c r="O33" s="2" t="s">
        <v>643</v>
      </c>
      <c r="P33" s="2" t="s">
        <v>333</v>
      </c>
      <c r="Q33" s="2" t="s">
        <v>334</v>
      </c>
      <c r="R33" s="2" t="s">
        <v>644</v>
      </c>
      <c r="S33" s="2" t="s">
        <v>447</v>
      </c>
      <c r="T33" s="2" t="s">
        <v>448</v>
      </c>
      <c r="U33" s="2" t="s">
        <v>537</v>
      </c>
      <c r="V33" s="2" t="s">
        <v>640</v>
      </c>
      <c r="W33" s="2" t="s">
        <v>645</v>
      </c>
      <c r="X33" s="2" t="s">
        <v>646</v>
      </c>
      <c r="Y33" s="2" t="s">
        <v>391</v>
      </c>
      <c r="Z33" s="2" t="s">
        <v>392</v>
      </c>
      <c r="AA33" s="2" t="s">
        <v>647</v>
      </c>
      <c r="AB33" s="2" t="s">
        <v>83</v>
      </c>
      <c r="AC33" s="2" t="s">
        <v>148</v>
      </c>
      <c r="AD33" s="2" t="s">
        <v>648</v>
      </c>
      <c r="AE33" s="2" t="s">
        <v>62</v>
      </c>
      <c r="AF33" s="2" t="s">
        <v>62</v>
      </c>
      <c r="AG33" s="2" t="s">
        <v>60</v>
      </c>
      <c r="AH33" s="2" t="s">
        <v>60</v>
      </c>
      <c r="AI33" s="2" t="s">
        <v>62</v>
      </c>
      <c r="AJ33" s="2"/>
      <c r="AK33" s="2" t="s">
        <v>63</v>
      </c>
      <c r="AL33" s="2" t="s">
        <v>649</v>
      </c>
      <c r="AM33" s="2" t="s">
        <v>650</v>
      </c>
    </row>
    <row r="34" customFormat="false" ht="23.85" hidden="false" customHeight="false" outlineLevel="0" collapsed="false">
      <c r="A34" s="2" t="n">
        <v>33</v>
      </c>
      <c r="B34" s="3" t="s">
        <v>651</v>
      </c>
      <c r="C34" s="2" t="s">
        <v>652</v>
      </c>
      <c r="D34" s="2" t="s">
        <v>155</v>
      </c>
      <c r="E34" s="2" t="s">
        <v>653</v>
      </c>
      <c r="F34" s="2" t="s">
        <v>654</v>
      </c>
      <c r="G34" s="2" t="s">
        <v>655</v>
      </c>
      <c r="H34" s="2" t="s">
        <v>97</v>
      </c>
      <c r="I34" s="2" t="s">
        <v>600</v>
      </c>
      <c r="J34" s="2" t="s">
        <v>656</v>
      </c>
      <c r="K34" s="2" t="s">
        <v>657</v>
      </c>
      <c r="L34" s="2" t="s">
        <v>658</v>
      </c>
      <c r="M34" s="2" t="s">
        <v>659</v>
      </c>
      <c r="N34" s="2" t="s">
        <v>83</v>
      </c>
      <c r="O34" s="2" t="s">
        <v>238</v>
      </c>
      <c r="P34" s="2" t="s">
        <v>654</v>
      </c>
      <c r="Q34" s="2" t="s">
        <v>655</v>
      </c>
      <c r="R34" s="2" t="s">
        <v>660</v>
      </c>
      <c r="S34" s="2" t="s">
        <v>97</v>
      </c>
      <c r="T34" s="2" t="s">
        <v>600</v>
      </c>
      <c r="U34" s="2" t="s">
        <v>661</v>
      </c>
      <c r="V34" s="2" t="s">
        <v>662</v>
      </c>
      <c r="W34" s="2" t="s">
        <v>663</v>
      </c>
      <c r="X34" s="2" t="s">
        <v>664</v>
      </c>
      <c r="Y34" s="2" t="s">
        <v>658</v>
      </c>
      <c r="Z34" s="2" t="s">
        <v>665</v>
      </c>
      <c r="AA34" s="2"/>
      <c r="AB34" s="2" t="s">
        <v>83</v>
      </c>
      <c r="AC34" s="2" t="s">
        <v>148</v>
      </c>
      <c r="AD34" s="2" t="s">
        <v>58</v>
      </c>
      <c r="AE34" s="2" t="s">
        <v>60</v>
      </c>
      <c r="AF34" s="2" t="s">
        <v>60</v>
      </c>
      <c r="AG34" s="2" t="s">
        <v>227</v>
      </c>
      <c r="AH34" s="2" t="s">
        <v>60</v>
      </c>
      <c r="AI34" s="2" t="s">
        <v>60</v>
      </c>
      <c r="AJ34" s="2"/>
      <c r="AK34" s="2" t="s">
        <v>63</v>
      </c>
      <c r="AL34" s="2" t="s">
        <v>666</v>
      </c>
      <c r="AM34" s="2" t="s">
        <v>667</v>
      </c>
    </row>
    <row r="35" customFormat="false" ht="35.05" hidden="false" customHeight="false" outlineLevel="0" collapsed="false">
      <c r="A35" s="2" t="n">
        <v>34</v>
      </c>
      <c r="B35" s="3" t="s">
        <v>668</v>
      </c>
      <c r="C35" s="2" t="s">
        <v>669</v>
      </c>
      <c r="D35" s="2" t="s">
        <v>97</v>
      </c>
      <c r="E35" s="2" t="s">
        <v>670</v>
      </c>
      <c r="F35" s="2" t="s">
        <v>387</v>
      </c>
      <c r="G35" s="2" t="s">
        <v>671</v>
      </c>
      <c r="H35" s="2" t="s">
        <v>492</v>
      </c>
      <c r="I35" s="2" t="s">
        <v>493</v>
      </c>
      <c r="J35" s="2" t="s">
        <v>672</v>
      </c>
      <c r="K35" s="2" t="s">
        <v>673</v>
      </c>
      <c r="L35" s="2" t="s">
        <v>674</v>
      </c>
      <c r="M35" s="2" t="s">
        <v>675</v>
      </c>
      <c r="N35" s="2" t="s">
        <v>58</v>
      </c>
      <c r="O35" s="2" t="s">
        <v>59</v>
      </c>
      <c r="P35" s="2" t="s">
        <v>387</v>
      </c>
      <c r="Q35" s="2" t="s">
        <v>671</v>
      </c>
      <c r="R35" s="2" t="s">
        <v>676</v>
      </c>
      <c r="S35" s="2" t="s">
        <v>492</v>
      </c>
      <c r="T35" s="2" t="s">
        <v>499</v>
      </c>
      <c r="U35" s="2" t="s">
        <v>500</v>
      </c>
      <c r="V35" s="2" t="s">
        <v>672</v>
      </c>
      <c r="W35" s="2" t="s">
        <v>673</v>
      </c>
      <c r="X35" s="2" t="s">
        <v>677</v>
      </c>
      <c r="Y35" s="2" t="s">
        <v>678</v>
      </c>
      <c r="Z35" s="2" t="s">
        <v>679</v>
      </c>
      <c r="AA35" s="2" t="s">
        <v>680</v>
      </c>
      <c r="AB35" s="2" t="s">
        <v>58</v>
      </c>
      <c r="AC35" s="2" t="s">
        <v>59</v>
      </c>
      <c r="AD35" s="2"/>
      <c r="AE35" s="2" t="s">
        <v>60</v>
      </c>
      <c r="AF35" s="2" t="s">
        <v>60</v>
      </c>
      <c r="AG35" s="2" t="s">
        <v>60</v>
      </c>
      <c r="AH35" s="2" t="s">
        <v>62</v>
      </c>
      <c r="AI35" s="2" t="s">
        <v>60</v>
      </c>
      <c r="AJ35" s="2"/>
      <c r="AK35" s="2" t="s">
        <v>63</v>
      </c>
      <c r="AL35" s="2" t="s">
        <v>681</v>
      </c>
      <c r="AM35" s="2" t="s">
        <v>682</v>
      </c>
    </row>
    <row r="36" customFormat="false" ht="46.25" hidden="false" customHeight="false" outlineLevel="0" collapsed="false">
      <c r="A36" s="2" t="n">
        <v>35</v>
      </c>
      <c r="B36" s="3" t="s">
        <v>683</v>
      </c>
      <c r="C36" s="2" t="s">
        <v>684</v>
      </c>
      <c r="D36" s="2" t="s">
        <v>155</v>
      </c>
      <c r="E36" s="2" t="s">
        <v>685</v>
      </c>
      <c r="F36" s="2" t="s">
        <v>686</v>
      </c>
      <c r="G36" s="2" t="s">
        <v>687</v>
      </c>
      <c r="H36" s="2" t="s">
        <v>688</v>
      </c>
      <c r="I36" s="2" t="s">
        <v>689</v>
      </c>
      <c r="J36" s="2" t="s">
        <v>159</v>
      </c>
      <c r="K36" s="2" t="s">
        <v>160</v>
      </c>
      <c r="L36" s="2" t="s">
        <v>161</v>
      </c>
      <c r="M36" s="2" t="s">
        <v>162</v>
      </c>
      <c r="N36" s="2" t="s">
        <v>690</v>
      </c>
      <c r="O36" s="2" t="s">
        <v>691</v>
      </c>
      <c r="P36" s="2" t="s">
        <v>686</v>
      </c>
      <c r="Q36" s="2" t="s">
        <v>687</v>
      </c>
      <c r="R36" s="2" t="s">
        <v>692</v>
      </c>
      <c r="S36" s="2" t="s">
        <v>693</v>
      </c>
      <c r="T36" s="2" t="s">
        <v>694</v>
      </c>
      <c r="U36" s="2" t="s">
        <v>695</v>
      </c>
      <c r="V36" s="2" t="s">
        <v>159</v>
      </c>
      <c r="W36" s="2" t="s">
        <v>160</v>
      </c>
      <c r="X36" s="2" t="s">
        <v>167</v>
      </c>
      <c r="Y36" s="2" t="s">
        <v>161</v>
      </c>
      <c r="Z36" s="2" t="s">
        <v>162</v>
      </c>
      <c r="AA36" s="2" t="s">
        <v>168</v>
      </c>
      <c r="AB36" s="2" t="s">
        <v>83</v>
      </c>
      <c r="AC36" s="2" t="s">
        <v>148</v>
      </c>
      <c r="AD36" s="2" t="s">
        <v>696</v>
      </c>
      <c r="AE36" s="2" t="s">
        <v>60</v>
      </c>
      <c r="AF36" s="2" t="s">
        <v>61</v>
      </c>
      <c r="AG36" s="2" t="s">
        <v>60</v>
      </c>
      <c r="AH36" s="2" t="s">
        <v>60</v>
      </c>
      <c r="AI36" s="2" t="s">
        <v>61</v>
      </c>
      <c r="AJ36" s="2"/>
      <c r="AK36" s="2" t="s">
        <v>63</v>
      </c>
      <c r="AL36" s="2" t="s">
        <v>697</v>
      </c>
      <c r="AM36" s="2" t="s">
        <v>698</v>
      </c>
    </row>
    <row r="37" customFormat="false" ht="23.85" hidden="false" customHeight="false" outlineLevel="0" collapsed="false">
      <c r="A37" s="2" t="n">
        <v>36</v>
      </c>
      <c r="B37" s="3" t="s">
        <v>699</v>
      </c>
      <c r="C37" s="2" t="s">
        <v>700</v>
      </c>
      <c r="D37" s="2" t="s">
        <v>188</v>
      </c>
      <c r="E37" s="2" t="s">
        <v>701</v>
      </c>
      <c r="F37" s="2" t="s">
        <v>702</v>
      </c>
      <c r="G37" s="2" t="s">
        <v>703</v>
      </c>
      <c r="H37" s="2" t="s">
        <v>704</v>
      </c>
      <c r="I37" s="2" t="s">
        <v>705</v>
      </c>
      <c r="J37" s="2" t="s">
        <v>194</v>
      </c>
      <c r="K37" s="2" t="s">
        <v>195</v>
      </c>
      <c r="L37" s="2" t="s">
        <v>196</v>
      </c>
      <c r="M37" s="2" t="s">
        <v>197</v>
      </c>
      <c r="N37" s="2" t="s">
        <v>83</v>
      </c>
      <c r="O37" s="2" t="s">
        <v>238</v>
      </c>
      <c r="P37" s="2" t="s">
        <v>702</v>
      </c>
      <c r="Q37" s="2" t="s">
        <v>703</v>
      </c>
      <c r="R37" s="2"/>
      <c r="S37" s="2" t="s">
        <v>704</v>
      </c>
      <c r="T37" s="2" t="s">
        <v>705</v>
      </c>
      <c r="U37" s="2"/>
      <c r="V37" s="2" t="s">
        <v>194</v>
      </c>
      <c r="W37" s="2" t="s">
        <v>195</v>
      </c>
      <c r="X37" s="2" t="s">
        <v>706</v>
      </c>
      <c r="Y37" s="2" t="s">
        <v>196</v>
      </c>
      <c r="Z37" s="2" t="s">
        <v>197</v>
      </c>
      <c r="AA37" s="2" t="s">
        <v>206</v>
      </c>
      <c r="AB37" s="2" t="s">
        <v>83</v>
      </c>
      <c r="AC37" s="2" t="s">
        <v>148</v>
      </c>
      <c r="AD37" s="2" t="s">
        <v>707</v>
      </c>
      <c r="AE37" s="2" t="s">
        <v>60</v>
      </c>
      <c r="AF37" s="2" t="s">
        <v>60</v>
      </c>
      <c r="AG37" s="2" t="s">
        <v>60</v>
      </c>
      <c r="AH37" s="2" t="s">
        <v>60</v>
      </c>
      <c r="AI37" s="2" t="s">
        <v>60</v>
      </c>
      <c r="AJ37" s="2"/>
      <c r="AK37" s="2" t="s">
        <v>63</v>
      </c>
      <c r="AL37" s="2" t="s">
        <v>708</v>
      </c>
      <c r="AM37" s="2"/>
    </row>
    <row r="38" customFormat="false" ht="23.85" hidden="false" customHeight="false" outlineLevel="0" collapsed="false">
      <c r="A38" s="2" t="n">
        <v>37</v>
      </c>
      <c r="B38" s="3" t="s">
        <v>709</v>
      </c>
      <c r="C38" s="2" t="s">
        <v>710</v>
      </c>
      <c r="D38" s="2" t="s">
        <v>97</v>
      </c>
      <c r="E38" s="2" t="s">
        <v>711</v>
      </c>
      <c r="F38" s="2" t="s">
        <v>712</v>
      </c>
      <c r="G38" s="2" t="s">
        <v>713</v>
      </c>
      <c r="H38" s="2" t="s">
        <v>97</v>
      </c>
      <c r="I38" s="2" t="s">
        <v>600</v>
      </c>
      <c r="J38" s="2" t="s">
        <v>714</v>
      </c>
      <c r="K38" s="2" t="s">
        <v>715</v>
      </c>
      <c r="L38" s="2" t="s">
        <v>716</v>
      </c>
      <c r="M38" s="2" t="s">
        <v>717</v>
      </c>
      <c r="N38" s="2" t="s">
        <v>58</v>
      </c>
      <c r="O38" s="2" t="s">
        <v>59</v>
      </c>
      <c r="P38" s="2" t="s">
        <v>712</v>
      </c>
      <c r="Q38" s="2" t="s">
        <v>713</v>
      </c>
      <c r="R38" s="2"/>
      <c r="S38" s="2" t="s">
        <v>97</v>
      </c>
      <c r="T38" s="2" t="s">
        <v>600</v>
      </c>
      <c r="U38" s="2"/>
      <c r="V38" s="2" t="s">
        <v>714</v>
      </c>
      <c r="W38" s="2" t="s">
        <v>718</v>
      </c>
      <c r="X38" s="2" t="s">
        <v>719</v>
      </c>
      <c r="Y38" s="2" t="s">
        <v>716</v>
      </c>
      <c r="Z38" s="2" t="s">
        <v>717</v>
      </c>
      <c r="AA38" s="2" t="s">
        <v>720</v>
      </c>
      <c r="AB38" s="2" t="s">
        <v>58</v>
      </c>
      <c r="AC38" s="2" t="s">
        <v>59</v>
      </c>
      <c r="AD38" s="2"/>
      <c r="AE38" s="2" t="s">
        <v>60</v>
      </c>
      <c r="AF38" s="2" t="s">
        <v>60</v>
      </c>
      <c r="AG38" s="2" t="s">
        <v>60</v>
      </c>
      <c r="AH38" s="2" t="s">
        <v>60</v>
      </c>
      <c r="AI38" s="2" t="s">
        <v>60</v>
      </c>
      <c r="AJ38" s="2"/>
      <c r="AK38" s="2" t="s">
        <v>721</v>
      </c>
      <c r="AL38" s="2" t="s">
        <v>722</v>
      </c>
      <c r="AM38" s="2"/>
    </row>
    <row r="39" customFormat="false" ht="35.05" hidden="false" customHeight="false" outlineLevel="0" collapsed="false">
      <c r="A39" s="2" t="n">
        <v>38</v>
      </c>
      <c r="B39" s="3" t="s">
        <v>723</v>
      </c>
      <c r="C39" s="2" t="s">
        <v>724</v>
      </c>
      <c r="D39" s="2" t="s">
        <v>214</v>
      </c>
      <c r="E39" s="2" t="s">
        <v>725</v>
      </c>
      <c r="F39" s="2" t="s">
        <v>726</v>
      </c>
      <c r="G39" s="2" t="s">
        <v>727</v>
      </c>
      <c r="H39" s="2" t="s">
        <v>83</v>
      </c>
      <c r="I39" s="2" t="s">
        <v>728</v>
      </c>
      <c r="J39" s="2" t="s">
        <v>83</v>
      </c>
      <c r="K39" s="2" t="s">
        <v>218</v>
      </c>
      <c r="L39" s="2" t="s">
        <v>622</v>
      </c>
      <c r="M39" s="2" t="s">
        <v>623</v>
      </c>
      <c r="N39" s="2" t="s">
        <v>83</v>
      </c>
      <c r="O39" s="2" t="s">
        <v>238</v>
      </c>
      <c r="P39" s="2" t="s">
        <v>726</v>
      </c>
      <c r="Q39" s="2" t="s">
        <v>727</v>
      </c>
      <c r="R39" s="2" t="s">
        <v>729</v>
      </c>
      <c r="S39" s="2" t="s">
        <v>83</v>
      </c>
      <c r="T39" s="2" t="s">
        <v>84</v>
      </c>
      <c r="U39" s="2"/>
      <c r="V39" s="2" t="s">
        <v>83</v>
      </c>
      <c r="W39" s="2" t="s">
        <v>146</v>
      </c>
      <c r="X39" s="2" t="s">
        <v>730</v>
      </c>
      <c r="Y39" s="2" t="s">
        <v>83</v>
      </c>
      <c r="Z39" s="2" t="s">
        <v>148</v>
      </c>
      <c r="AA39" s="2" t="s">
        <v>622</v>
      </c>
      <c r="AB39" s="2" t="s">
        <v>83</v>
      </c>
      <c r="AC39" s="2" t="s">
        <v>148</v>
      </c>
      <c r="AD39" s="2" t="s">
        <v>58</v>
      </c>
      <c r="AE39" s="2" t="s">
        <v>60</v>
      </c>
      <c r="AF39" s="2" t="s">
        <v>90</v>
      </c>
      <c r="AG39" s="2" t="s">
        <v>90</v>
      </c>
      <c r="AH39" s="2" t="s">
        <v>90</v>
      </c>
      <c r="AI39" s="2" t="s">
        <v>60</v>
      </c>
      <c r="AJ39" s="2" t="s">
        <v>731</v>
      </c>
      <c r="AK39" s="2" t="s">
        <v>92</v>
      </c>
      <c r="AL39" s="2" t="s">
        <v>732</v>
      </c>
      <c r="AM39" s="2" t="s">
        <v>733</v>
      </c>
    </row>
    <row r="40" customFormat="false" ht="46.25" hidden="false" customHeight="false" outlineLevel="0" collapsed="false">
      <c r="A40" s="2" t="n">
        <v>39</v>
      </c>
      <c r="B40" s="3" t="s">
        <v>734</v>
      </c>
      <c r="C40" s="2" t="s">
        <v>735</v>
      </c>
      <c r="D40" s="2" t="s">
        <v>97</v>
      </c>
      <c r="E40" s="2" t="s">
        <v>736</v>
      </c>
      <c r="F40" s="2" t="s">
        <v>510</v>
      </c>
      <c r="G40" s="2" t="s">
        <v>511</v>
      </c>
      <c r="H40" s="2" t="s">
        <v>192</v>
      </c>
      <c r="I40" s="2" t="s">
        <v>193</v>
      </c>
      <c r="J40" s="2" t="s">
        <v>309</v>
      </c>
      <c r="K40" s="2" t="s">
        <v>310</v>
      </c>
      <c r="L40" s="2" t="s">
        <v>737</v>
      </c>
      <c r="M40" s="2" t="s">
        <v>738</v>
      </c>
      <c r="N40" s="2" t="s">
        <v>360</v>
      </c>
      <c r="O40" s="2" t="s">
        <v>361</v>
      </c>
      <c r="P40" s="2" t="s">
        <v>200</v>
      </c>
      <c r="Q40" s="2" t="s">
        <v>201</v>
      </c>
      <c r="R40" s="2" t="s">
        <v>739</v>
      </c>
      <c r="S40" s="2" t="s">
        <v>740</v>
      </c>
      <c r="T40" s="2" t="s">
        <v>741</v>
      </c>
      <c r="U40" s="2" t="s">
        <v>742</v>
      </c>
      <c r="V40" s="2" t="s">
        <v>319</v>
      </c>
      <c r="W40" s="2" t="s">
        <v>320</v>
      </c>
      <c r="X40" s="2" t="s">
        <v>743</v>
      </c>
      <c r="Y40" s="2" t="s">
        <v>737</v>
      </c>
      <c r="Z40" s="2" t="s">
        <v>738</v>
      </c>
      <c r="AA40" s="2" t="s">
        <v>744</v>
      </c>
      <c r="AB40" s="2" t="s">
        <v>360</v>
      </c>
      <c r="AC40" s="2" t="s">
        <v>361</v>
      </c>
      <c r="AD40" s="2" t="s">
        <v>58</v>
      </c>
      <c r="AE40" s="2" t="s">
        <v>61</v>
      </c>
      <c r="AF40" s="2" t="s">
        <v>61</v>
      </c>
      <c r="AG40" s="2" t="s">
        <v>61</v>
      </c>
      <c r="AH40" s="2" t="s">
        <v>60</v>
      </c>
      <c r="AI40" s="2" t="s">
        <v>60</v>
      </c>
      <c r="AJ40" s="2"/>
      <c r="AK40" s="2" t="s">
        <v>63</v>
      </c>
      <c r="AL40" s="2" t="s">
        <v>745</v>
      </c>
      <c r="AM40" s="2" t="s">
        <v>746</v>
      </c>
    </row>
    <row r="41" customFormat="false" ht="35.05" hidden="false" customHeight="false" outlineLevel="0" collapsed="false">
      <c r="A41" s="2" t="n">
        <v>40</v>
      </c>
      <c r="B41" s="3" t="s">
        <v>747</v>
      </c>
      <c r="C41" s="2" t="s">
        <v>748</v>
      </c>
      <c r="D41" s="2" t="s">
        <v>188</v>
      </c>
      <c r="E41" s="2" t="s">
        <v>749</v>
      </c>
      <c r="F41" s="2" t="s">
        <v>387</v>
      </c>
      <c r="G41" s="2" t="s">
        <v>671</v>
      </c>
      <c r="H41" s="2" t="s">
        <v>656</v>
      </c>
      <c r="I41" s="2" t="s">
        <v>750</v>
      </c>
      <c r="J41" s="2" t="s">
        <v>751</v>
      </c>
      <c r="K41" s="2" t="s">
        <v>752</v>
      </c>
      <c r="L41" s="2" t="s">
        <v>372</v>
      </c>
      <c r="M41" s="2" t="s">
        <v>373</v>
      </c>
      <c r="N41" s="2" t="s">
        <v>642</v>
      </c>
      <c r="O41" s="2" t="s">
        <v>643</v>
      </c>
      <c r="P41" s="2" t="s">
        <v>387</v>
      </c>
      <c r="Q41" s="2" t="s">
        <v>671</v>
      </c>
      <c r="R41" s="2" t="s">
        <v>753</v>
      </c>
      <c r="S41" s="2" t="s">
        <v>754</v>
      </c>
      <c r="T41" s="2" t="s">
        <v>755</v>
      </c>
      <c r="U41" s="2" t="s">
        <v>537</v>
      </c>
      <c r="V41" s="2" t="s">
        <v>751</v>
      </c>
      <c r="W41" s="2" t="s">
        <v>756</v>
      </c>
      <c r="X41" s="2" t="s">
        <v>757</v>
      </c>
      <c r="Y41" s="2" t="s">
        <v>372</v>
      </c>
      <c r="Z41" s="2" t="s">
        <v>378</v>
      </c>
      <c r="AA41" s="2" t="s">
        <v>758</v>
      </c>
      <c r="AB41" s="2" t="s">
        <v>759</v>
      </c>
      <c r="AC41" s="2" t="s">
        <v>760</v>
      </c>
      <c r="AD41" s="2" t="s">
        <v>761</v>
      </c>
      <c r="AE41" s="2" t="s">
        <v>60</v>
      </c>
      <c r="AF41" s="2" t="s">
        <v>62</v>
      </c>
      <c r="AG41" s="2" t="s">
        <v>60</v>
      </c>
      <c r="AH41" s="2" t="s">
        <v>60</v>
      </c>
      <c r="AI41" s="2" t="s">
        <v>62</v>
      </c>
      <c r="AJ41" s="2"/>
      <c r="AK41" s="2" t="s">
        <v>92</v>
      </c>
      <c r="AL41" s="2" t="s">
        <v>762</v>
      </c>
      <c r="AM41" s="2" t="s">
        <v>763</v>
      </c>
    </row>
    <row r="42" customFormat="false" ht="35.05" hidden="false" customHeight="false" outlineLevel="0" collapsed="false">
      <c r="A42" s="2" t="n">
        <v>41</v>
      </c>
      <c r="B42" s="3" t="s">
        <v>764</v>
      </c>
      <c r="C42" s="2" t="s">
        <v>765</v>
      </c>
      <c r="D42" s="2" t="s">
        <v>97</v>
      </c>
      <c r="E42" s="2" t="s">
        <v>766</v>
      </c>
      <c r="F42" s="2" t="s">
        <v>726</v>
      </c>
      <c r="G42" s="2" t="s">
        <v>727</v>
      </c>
      <c r="H42" s="2" t="s">
        <v>277</v>
      </c>
      <c r="I42" s="2" t="s">
        <v>278</v>
      </c>
      <c r="J42" s="2" t="s">
        <v>294</v>
      </c>
      <c r="K42" s="2" t="s">
        <v>295</v>
      </c>
      <c r="L42" s="2" t="s">
        <v>767</v>
      </c>
      <c r="M42" s="2" t="s">
        <v>768</v>
      </c>
      <c r="N42" s="2" t="s">
        <v>58</v>
      </c>
      <c r="O42" s="2" t="s">
        <v>59</v>
      </c>
      <c r="P42" s="2" t="s">
        <v>726</v>
      </c>
      <c r="Q42" s="2" t="s">
        <v>727</v>
      </c>
      <c r="R42" s="2"/>
      <c r="S42" s="2" t="s">
        <v>277</v>
      </c>
      <c r="T42" s="2" t="s">
        <v>278</v>
      </c>
      <c r="U42" s="2" t="s">
        <v>270</v>
      </c>
      <c r="V42" s="2" t="s">
        <v>769</v>
      </c>
      <c r="W42" s="2" t="s">
        <v>770</v>
      </c>
      <c r="X42" s="2" t="s">
        <v>771</v>
      </c>
      <c r="Y42" s="2" t="s">
        <v>767</v>
      </c>
      <c r="Z42" s="2" t="s">
        <v>772</v>
      </c>
      <c r="AA42" s="2" t="s">
        <v>773</v>
      </c>
      <c r="AB42" s="2" t="s">
        <v>58</v>
      </c>
      <c r="AC42" s="2" t="s">
        <v>59</v>
      </c>
      <c r="AD42" s="2" t="s">
        <v>774</v>
      </c>
      <c r="AE42" s="2" t="s">
        <v>60</v>
      </c>
      <c r="AF42" s="2" t="s">
        <v>60</v>
      </c>
      <c r="AG42" s="2" t="s">
        <v>62</v>
      </c>
      <c r="AH42" s="2" t="s">
        <v>60</v>
      </c>
      <c r="AI42" s="2" t="s">
        <v>60</v>
      </c>
      <c r="AJ42" s="2"/>
      <c r="AK42" s="2" t="s">
        <v>63</v>
      </c>
      <c r="AL42" s="2" t="s">
        <v>775</v>
      </c>
      <c r="AM42" s="2" t="s">
        <v>776</v>
      </c>
    </row>
    <row r="43" customFormat="false" ht="23.85" hidden="false" customHeight="false" outlineLevel="0" collapsed="false">
      <c r="A43" s="2" t="n">
        <v>42</v>
      </c>
      <c r="B43" s="3" t="s">
        <v>777</v>
      </c>
      <c r="C43" s="2" t="s">
        <v>778</v>
      </c>
      <c r="D43" s="2" t="s">
        <v>41</v>
      </c>
      <c r="E43" s="2" t="s">
        <v>779</v>
      </c>
      <c r="F43" s="2" t="s">
        <v>256</v>
      </c>
      <c r="G43" s="2" t="s">
        <v>780</v>
      </c>
      <c r="H43" s="2" t="s">
        <v>292</v>
      </c>
      <c r="I43" s="2" t="s">
        <v>293</v>
      </c>
      <c r="J43" s="2" t="s">
        <v>260</v>
      </c>
      <c r="K43" s="2" t="s">
        <v>261</v>
      </c>
      <c r="L43" s="2" t="s">
        <v>203</v>
      </c>
      <c r="M43" s="2" t="s">
        <v>781</v>
      </c>
      <c r="N43" s="2" t="s">
        <v>58</v>
      </c>
      <c r="O43" s="2" t="s">
        <v>59</v>
      </c>
      <c r="P43" s="2" t="s">
        <v>256</v>
      </c>
      <c r="Q43" s="2" t="s">
        <v>257</v>
      </c>
      <c r="R43" s="2" t="s">
        <v>782</v>
      </c>
      <c r="S43" s="2" t="s">
        <v>292</v>
      </c>
      <c r="T43" s="2" t="s">
        <v>293</v>
      </c>
      <c r="U43" s="2"/>
      <c r="V43" s="2" t="s">
        <v>260</v>
      </c>
      <c r="W43" s="2" t="s">
        <v>261</v>
      </c>
      <c r="X43" s="2" t="s">
        <v>262</v>
      </c>
      <c r="Y43" s="2" t="s">
        <v>783</v>
      </c>
      <c r="Z43" s="2" t="s">
        <v>784</v>
      </c>
      <c r="AA43" s="2" t="s">
        <v>785</v>
      </c>
      <c r="AB43" s="2" t="s">
        <v>58</v>
      </c>
      <c r="AC43" s="2" t="s">
        <v>59</v>
      </c>
      <c r="AD43" s="2"/>
      <c r="AE43" s="2" t="s">
        <v>60</v>
      </c>
      <c r="AF43" s="2" t="s">
        <v>60</v>
      </c>
      <c r="AG43" s="2" t="s">
        <v>60</v>
      </c>
      <c r="AH43" s="2" t="s">
        <v>90</v>
      </c>
      <c r="AI43" s="2" t="s">
        <v>60</v>
      </c>
      <c r="AJ43" s="2"/>
      <c r="AK43" s="2" t="s">
        <v>92</v>
      </c>
      <c r="AL43" s="2" t="s">
        <v>786</v>
      </c>
      <c r="AM43" s="2" t="s">
        <v>787</v>
      </c>
    </row>
    <row r="44" customFormat="false" ht="46.25" hidden="false" customHeight="false" outlineLevel="0" collapsed="false">
      <c r="A44" s="2" t="n">
        <v>43</v>
      </c>
      <c r="B44" s="3" t="s">
        <v>788</v>
      </c>
      <c r="C44" s="2" t="s">
        <v>789</v>
      </c>
      <c r="D44" s="2" t="s">
        <v>188</v>
      </c>
      <c r="E44" s="2" t="s">
        <v>790</v>
      </c>
      <c r="F44" s="2" t="s">
        <v>349</v>
      </c>
      <c r="G44" s="2" t="s">
        <v>350</v>
      </c>
      <c r="H44" s="2" t="s">
        <v>791</v>
      </c>
      <c r="I44" s="2" t="s">
        <v>792</v>
      </c>
      <c r="J44" s="2" t="s">
        <v>793</v>
      </c>
      <c r="K44" s="2" t="s">
        <v>794</v>
      </c>
      <c r="L44" s="2" t="s">
        <v>372</v>
      </c>
      <c r="M44" s="2" t="s">
        <v>373</v>
      </c>
      <c r="N44" s="2" t="s">
        <v>795</v>
      </c>
      <c r="O44" s="2" t="s">
        <v>796</v>
      </c>
      <c r="P44" s="2" t="s">
        <v>797</v>
      </c>
      <c r="Q44" s="2" t="s">
        <v>798</v>
      </c>
      <c r="R44" s="2" t="s">
        <v>799</v>
      </c>
      <c r="S44" s="2" t="s">
        <v>791</v>
      </c>
      <c r="T44" s="2" t="s">
        <v>800</v>
      </c>
      <c r="U44" s="2" t="s">
        <v>801</v>
      </c>
      <c r="V44" s="2" t="s">
        <v>793</v>
      </c>
      <c r="W44" s="2" t="s">
        <v>802</v>
      </c>
      <c r="X44" s="2" t="s">
        <v>803</v>
      </c>
      <c r="Y44" s="2" t="s">
        <v>372</v>
      </c>
      <c r="Z44" s="2" t="s">
        <v>378</v>
      </c>
      <c r="AA44" s="2"/>
      <c r="AB44" s="2" t="s">
        <v>795</v>
      </c>
      <c r="AC44" s="2" t="s">
        <v>804</v>
      </c>
      <c r="AD44" s="2"/>
      <c r="AE44" s="2" t="s">
        <v>227</v>
      </c>
      <c r="AF44" s="2" t="s">
        <v>60</v>
      </c>
      <c r="AG44" s="2" t="s">
        <v>60</v>
      </c>
      <c r="AH44" s="2" t="s">
        <v>60</v>
      </c>
      <c r="AI44" s="2" t="s">
        <v>60</v>
      </c>
      <c r="AJ44" s="2"/>
      <c r="AK44" s="2" t="s">
        <v>92</v>
      </c>
      <c r="AL44" s="2" t="s">
        <v>805</v>
      </c>
      <c r="AM44" s="2" t="s">
        <v>806</v>
      </c>
    </row>
    <row r="45" customFormat="false" ht="46.25" hidden="false" customHeight="false" outlineLevel="0" collapsed="false">
      <c r="A45" s="2" t="n">
        <v>44</v>
      </c>
      <c r="B45" s="3" t="s">
        <v>807</v>
      </c>
      <c r="C45" s="2" t="s">
        <v>808</v>
      </c>
      <c r="D45" s="2" t="s">
        <v>188</v>
      </c>
      <c r="E45" s="2" t="s">
        <v>809</v>
      </c>
      <c r="F45" s="2" t="s">
        <v>810</v>
      </c>
      <c r="G45" s="2" t="s">
        <v>811</v>
      </c>
      <c r="H45" s="2" t="s">
        <v>83</v>
      </c>
      <c r="I45" s="2" t="s">
        <v>728</v>
      </c>
      <c r="J45" s="2" t="s">
        <v>538</v>
      </c>
      <c r="K45" s="2" t="s">
        <v>812</v>
      </c>
      <c r="L45" s="2" t="s">
        <v>534</v>
      </c>
      <c r="M45" s="2" t="s">
        <v>535</v>
      </c>
      <c r="N45" s="2" t="s">
        <v>196</v>
      </c>
      <c r="O45" s="2" t="s">
        <v>197</v>
      </c>
      <c r="P45" s="2" t="s">
        <v>810</v>
      </c>
      <c r="Q45" s="2" t="s">
        <v>811</v>
      </c>
      <c r="R45" s="2" t="s">
        <v>813</v>
      </c>
      <c r="S45" s="2" t="s">
        <v>83</v>
      </c>
      <c r="T45" s="2" t="s">
        <v>84</v>
      </c>
      <c r="U45" s="2"/>
      <c r="V45" s="2" t="s">
        <v>814</v>
      </c>
      <c r="W45" s="2" t="s">
        <v>815</v>
      </c>
      <c r="X45" s="2" t="s">
        <v>816</v>
      </c>
      <c r="Y45" s="2" t="s">
        <v>534</v>
      </c>
      <c r="Z45" s="2" t="s">
        <v>535</v>
      </c>
      <c r="AA45" s="2" t="s">
        <v>372</v>
      </c>
      <c r="AB45" s="2" t="s">
        <v>353</v>
      </c>
      <c r="AC45" s="2" t="s">
        <v>358</v>
      </c>
      <c r="AD45" s="2"/>
      <c r="AE45" s="2" t="s">
        <v>60</v>
      </c>
      <c r="AF45" s="2" t="s">
        <v>90</v>
      </c>
      <c r="AG45" s="2" t="s">
        <v>62</v>
      </c>
      <c r="AH45" s="2" t="s">
        <v>60</v>
      </c>
      <c r="AI45" s="2" t="s">
        <v>136</v>
      </c>
      <c r="AJ45" s="2" t="s">
        <v>91</v>
      </c>
      <c r="AK45" s="2" t="s">
        <v>63</v>
      </c>
      <c r="AL45" s="2" t="s">
        <v>817</v>
      </c>
      <c r="AM45" s="2" t="s">
        <v>818</v>
      </c>
    </row>
    <row r="46" customFormat="false" ht="46.25" hidden="false" customHeight="false" outlineLevel="0" collapsed="false">
      <c r="A46" s="2" t="n">
        <v>45</v>
      </c>
      <c r="B46" s="3" t="s">
        <v>819</v>
      </c>
      <c r="C46" s="2" t="s">
        <v>820</v>
      </c>
      <c r="D46" s="2" t="s">
        <v>97</v>
      </c>
      <c r="E46" s="2" t="s">
        <v>821</v>
      </c>
      <c r="F46" s="2" t="s">
        <v>822</v>
      </c>
      <c r="G46" s="2" t="s">
        <v>823</v>
      </c>
      <c r="H46" s="2" t="s">
        <v>432</v>
      </c>
      <c r="I46" s="2" t="s">
        <v>433</v>
      </c>
      <c r="J46" s="2" t="s">
        <v>294</v>
      </c>
      <c r="K46" s="2" t="s">
        <v>295</v>
      </c>
      <c r="L46" s="2" t="s">
        <v>824</v>
      </c>
      <c r="M46" s="2" t="s">
        <v>825</v>
      </c>
      <c r="N46" s="2" t="s">
        <v>826</v>
      </c>
      <c r="O46" s="2" t="s">
        <v>827</v>
      </c>
      <c r="P46" s="2" t="s">
        <v>822</v>
      </c>
      <c r="Q46" s="2" t="s">
        <v>823</v>
      </c>
      <c r="R46" s="2" t="s">
        <v>828</v>
      </c>
      <c r="S46" s="2" t="s">
        <v>829</v>
      </c>
      <c r="T46" s="2" t="s">
        <v>830</v>
      </c>
      <c r="U46" s="2" t="s">
        <v>831</v>
      </c>
      <c r="V46" s="2" t="s">
        <v>294</v>
      </c>
      <c r="W46" s="2" t="s">
        <v>628</v>
      </c>
      <c r="X46" s="2"/>
      <c r="Y46" s="2" t="s">
        <v>832</v>
      </c>
      <c r="Z46" s="2" t="s">
        <v>833</v>
      </c>
      <c r="AA46" s="2" t="s">
        <v>834</v>
      </c>
      <c r="AB46" s="2" t="s">
        <v>826</v>
      </c>
      <c r="AC46" s="2" t="s">
        <v>835</v>
      </c>
      <c r="AD46" s="2" t="s">
        <v>836</v>
      </c>
      <c r="AE46" s="2" t="s">
        <v>60</v>
      </c>
      <c r="AF46" s="2" t="s">
        <v>62</v>
      </c>
      <c r="AG46" s="2" t="s">
        <v>60</v>
      </c>
      <c r="AH46" s="2" t="s">
        <v>227</v>
      </c>
      <c r="AI46" s="2" t="s">
        <v>60</v>
      </c>
      <c r="AJ46" s="2"/>
      <c r="AK46" s="2" t="s">
        <v>63</v>
      </c>
      <c r="AL46" s="2" t="s">
        <v>837</v>
      </c>
      <c r="AM46" s="2" t="s">
        <v>838</v>
      </c>
    </row>
    <row r="47" customFormat="false" ht="46.25" hidden="false" customHeight="false" outlineLevel="0" collapsed="false">
      <c r="A47" s="2" t="n">
        <v>46</v>
      </c>
      <c r="B47" s="3" t="s">
        <v>839</v>
      </c>
      <c r="C47" s="2" t="s">
        <v>840</v>
      </c>
      <c r="D47" s="2" t="s">
        <v>508</v>
      </c>
      <c r="E47" s="2" t="s">
        <v>841</v>
      </c>
      <c r="F47" s="2" t="s">
        <v>842</v>
      </c>
      <c r="G47" s="2" t="s">
        <v>843</v>
      </c>
      <c r="H47" s="2" t="s">
        <v>844</v>
      </c>
      <c r="I47" s="2" t="s">
        <v>845</v>
      </c>
      <c r="J47" s="2" t="s">
        <v>846</v>
      </c>
      <c r="K47" s="2" t="s">
        <v>847</v>
      </c>
      <c r="L47" s="2" t="s">
        <v>848</v>
      </c>
      <c r="M47" s="2" t="s">
        <v>849</v>
      </c>
      <c r="N47" s="2" t="s">
        <v>850</v>
      </c>
      <c r="O47" s="2" t="s">
        <v>851</v>
      </c>
      <c r="P47" s="2" t="s">
        <v>842</v>
      </c>
      <c r="Q47" s="2" t="s">
        <v>843</v>
      </c>
      <c r="R47" s="2" t="s">
        <v>852</v>
      </c>
      <c r="S47" s="2" t="s">
        <v>853</v>
      </c>
      <c r="T47" s="2" t="s">
        <v>854</v>
      </c>
      <c r="U47" s="2" t="s">
        <v>855</v>
      </c>
      <c r="V47" s="2" t="s">
        <v>846</v>
      </c>
      <c r="W47" s="2" t="s">
        <v>847</v>
      </c>
      <c r="X47" s="2" t="s">
        <v>856</v>
      </c>
      <c r="Y47" s="2" t="s">
        <v>857</v>
      </c>
      <c r="Z47" s="2" t="s">
        <v>858</v>
      </c>
      <c r="AA47" s="2" t="s">
        <v>859</v>
      </c>
      <c r="AB47" s="2" t="s">
        <v>850</v>
      </c>
      <c r="AC47" s="2" t="s">
        <v>851</v>
      </c>
      <c r="AD47" s="2" t="s">
        <v>860</v>
      </c>
      <c r="AE47" s="2" t="s">
        <v>60</v>
      </c>
      <c r="AF47" s="2" t="s">
        <v>62</v>
      </c>
      <c r="AG47" s="2" t="s">
        <v>60</v>
      </c>
      <c r="AH47" s="2" t="s">
        <v>90</v>
      </c>
      <c r="AI47" s="2" t="s">
        <v>60</v>
      </c>
      <c r="AJ47" s="2"/>
      <c r="AK47" s="2" t="s">
        <v>63</v>
      </c>
      <c r="AL47" s="2" t="s">
        <v>861</v>
      </c>
      <c r="AM47" s="2" t="s">
        <v>862</v>
      </c>
    </row>
    <row r="48" customFormat="false" ht="35.05" hidden="false" customHeight="false" outlineLevel="0" collapsed="false">
      <c r="A48" s="2" t="n">
        <v>47</v>
      </c>
      <c r="B48" s="3" t="s">
        <v>863</v>
      </c>
      <c r="C48" s="2" t="s">
        <v>864</v>
      </c>
      <c r="D48" s="2" t="s">
        <v>97</v>
      </c>
      <c r="E48" s="2" t="s">
        <v>865</v>
      </c>
      <c r="F48" s="2" t="s">
        <v>866</v>
      </c>
      <c r="G48" s="2" t="s">
        <v>867</v>
      </c>
      <c r="H48" s="2" t="s">
        <v>97</v>
      </c>
      <c r="I48" s="2" t="s">
        <v>600</v>
      </c>
      <c r="J48" s="2" t="s">
        <v>868</v>
      </c>
      <c r="K48" s="2" t="s">
        <v>869</v>
      </c>
      <c r="L48" s="2" t="s">
        <v>870</v>
      </c>
      <c r="M48" s="2" t="s">
        <v>871</v>
      </c>
      <c r="N48" s="2" t="s">
        <v>58</v>
      </c>
      <c r="O48" s="2" t="s">
        <v>59</v>
      </c>
      <c r="P48" s="2" t="s">
        <v>118</v>
      </c>
      <c r="Q48" s="2" t="s">
        <v>128</v>
      </c>
      <c r="R48" s="2" t="s">
        <v>872</v>
      </c>
      <c r="S48" s="2" t="s">
        <v>83</v>
      </c>
      <c r="T48" s="2" t="s">
        <v>84</v>
      </c>
      <c r="U48" s="2"/>
      <c r="V48" s="2" t="s">
        <v>868</v>
      </c>
      <c r="W48" s="2" t="s">
        <v>873</v>
      </c>
      <c r="X48" s="2" t="s">
        <v>874</v>
      </c>
      <c r="Y48" s="2" t="s">
        <v>870</v>
      </c>
      <c r="Z48" s="2" t="s">
        <v>871</v>
      </c>
      <c r="AA48" s="2" t="s">
        <v>875</v>
      </c>
      <c r="AB48" s="2" t="s">
        <v>58</v>
      </c>
      <c r="AC48" s="2" t="s">
        <v>59</v>
      </c>
      <c r="AD48" s="2"/>
      <c r="AE48" s="2" t="s">
        <v>62</v>
      </c>
      <c r="AF48" s="2" t="s">
        <v>90</v>
      </c>
      <c r="AG48" s="2" t="s">
        <v>60</v>
      </c>
      <c r="AH48" s="2" t="s">
        <v>60</v>
      </c>
      <c r="AI48" s="2" t="s">
        <v>60</v>
      </c>
      <c r="AJ48" s="2" t="s">
        <v>91</v>
      </c>
      <c r="AK48" s="2" t="s">
        <v>63</v>
      </c>
      <c r="AL48" s="2" t="s">
        <v>876</v>
      </c>
      <c r="AM48" s="2" t="s">
        <v>877</v>
      </c>
    </row>
    <row r="49" customFormat="false" ht="35.05" hidden="false" customHeight="false" outlineLevel="0" collapsed="false">
      <c r="A49" s="2" t="n">
        <v>48</v>
      </c>
      <c r="B49" s="3" t="s">
        <v>878</v>
      </c>
      <c r="C49" s="2" t="s">
        <v>879</v>
      </c>
      <c r="D49" s="2" t="s">
        <v>97</v>
      </c>
      <c r="E49" s="2" t="s">
        <v>880</v>
      </c>
      <c r="F49" s="2" t="s">
        <v>80</v>
      </c>
      <c r="G49" s="2" t="s">
        <v>881</v>
      </c>
      <c r="H49" s="2" t="s">
        <v>882</v>
      </c>
      <c r="I49" s="2" t="s">
        <v>883</v>
      </c>
      <c r="J49" s="2" t="s">
        <v>769</v>
      </c>
      <c r="K49" s="2" t="s">
        <v>884</v>
      </c>
      <c r="L49" s="2" t="s">
        <v>885</v>
      </c>
      <c r="M49" s="2" t="s">
        <v>886</v>
      </c>
      <c r="N49" s="2" t="s">
        <v>58</v>
      </c>
      <c r="O49" s="2" t="s">
        <v>59</v>
      </c>
      <c r="P49" s="2" t="s">
        <v>887</v>
      </c>
      <c r="Q49" s="2" t="s">
        <v>888</v>
      </c>
      <c r="R49" s="2" t="s">
        <v>889</v>
      </c>
      <c r="S49" s="2" t="s">
        <v>277</v>
      </c>
      <c r="T49" s="2" t="s">
        <v>278</v>
      </c>
      <c r="U49" s="2" t="s">
        <v>890</v>
      </c>
      <c r="V49" s="2" t="s">
        <v>769</v>
      </c>
      <c r="W49" s="2" t="s">
        <v>770</v>
      </c>
      <c r="X49" s="2" t="s">
        <v>891</v>
      </c>
      <c r="Y49" s="2" t="s">
        <v>892</v>
      </c>
      <c r="Z49" s="2" t="s">
        <v>893</v>
      </c>
      <c r="AA49" s="2" t="s">
        <v>894</v>
      </c>
      <c r="AB49" s="2" t="s">
        <v>58</v>
      </c>
      <c r="AC49" s="2" t="s">
        <v>59</v>
      </c>
      <c r="AD49" s="2"/>
      <c r="AE49" s="2" t="s">
        <v>62</v>
      </c>
      <c r="AF49" s="2" t="s">
        <v>62</v>
      </c>
      <c r="AG49" s="2" t="s">
        <v>60</v>
      </c>
      <c r="AH49" s="2" t="s">
        <v>61</v>
      </c>
      <c r="AI49" s="2" t="s">
        <v>60</v>
      </c>
      <c r="AJ49" s="2"/>
      <c r="AK49" s="2" t="s">
        <v>92</v>
      </c>
      <c r="AL49" s="2" t="s">
        <v>895</v>
      </c>
      <c r="AM49" s="2" t="s">
        <v>896</v>
      </c>
    </row>
    <row r="50" customFormat="false" ht="23.85" hidden="false" customHeight="false" outlineLevel="0" collapsed="false">
      <c r="A50" s="2" t="n">
        <v>49</v>
      </c>
      <c r="B50" s="3" t="s">
        <v>897</v>
      </c>
      <c r="C50" s="2" t="s">
        <v>898</v>
      </c>
      <c r="D50" s="2" t="s">
        <v>508</v>
      </c>
      <c r="E50" s="2" t="s">
        <v>899</v>
      </c>
      <c r="F50" s="2" t="s">
        <v>900</v>
      </c>
      <c r="G50" s="2" t="s">
        <v>901</v>
      </c>
      <c r="H50" s="2" t="s">
        <v>101</v>
      </c>
      <c r="I50" s="2" t="s">
        <v>102</v>
      </c>
      <c r="J50" s="2" t="s">
        <v>192</v>
      </c>
      <c r="K50" s="2" t="s">
        <v>902</v>
      </c>
      <c r="L50" s="2" t="s">
        <v>903</v>
      </c>
      <c r="M50" s="2" t="s">
        <v>904</v>
      </c>
      <c r="N50" s="2" t="s">
        <v>905</v>
      </c>
      <c r="O50" s="2" t="s">
        <v>906</v>
      </c>
      <c r="P50" s="2" t="s">
        <v>900</v>
      </c>
      <c r="Q50" s="2" t="s">
        <v>901</v>
      </c>
      <c r="R50" s="2"/>
      <c r="S50" s="2" t="s">
        <v>101</v>
      </c>
      <c r="T50" s="2" t="s">
        <v>907</v>
      </c>
      <c r="U50" s="2" t="s">
        <v>908</v>
      </c>
      <c r="V50" s="2" t="s">
        <v>192</v>
      </c>
      <c r="W50" s="2" t="s">
        <v>902</v>
      </c>
      <c r="X50" s="2"/>
      <c r="Y50" s="2" t="s">
        <v>909</v>
      </c>
      <c r="Z50" s="2" t="s">
        <v>910</v>
      </c>
      <c r="AA50" s="2" t="s">
        <v>911</v>
      </c>
      <c r="AB50" s="2" t="s">
        <v>905</v>
      </c>
      <c r="AC50" s="2" t="s">
        <v>912</v>
      </c>
      <c r="AD50" s="2" t="s">
        <v>913</v>
      </c>
      <c r="AE50" s="2" t="s">
        <v>60</v>
      </c>
      <c r="AF50" s="2" t="s">
        <v>60</v>
      </c>
      <c r="AG50" s="2" t="s">
        <v>60</v>
      </c>
      <c r="AH50" s="2" t="s">
        <v>62</v>
      </c>
      <c r="AI50" s="2" t="s">
        <v>60</v>
      </c>
      <c r="AJ50" s="2"/>
      <c r="AK50" s="2" t="s">
        <v>63</v>
      </c>
      <c r="AL50" s="2" t="s">
        <v>914</v>
      </c>
      <c r="AM50" s="2" t="s">
        <v>915</v>
      </c>
    </row>
    <row r="51" customFormat="false" ht="35.05" hidden="false" customHeight="false" outlineLevel="0" collapsed="false">
      <c r="A51" s="2" t="n">
        <v>50</v>
      </c>
      <c r="B51" s="3" t="s">
        <v>916</v>
      </c>
      <c r="C51" s="2" t="s">
        <v>917</v>
      </c>
      <c r="D51" s="2" t="s">
        <v>383</v>
      </c>
      <c r="E51" s="2" t="s">
        <v>918</v>
      </c>
      <c r="F51" s="2" t="s">
        <v>142</v>
      </c>
      <c r="G51" s="2" t="s">
        <v>143</v>
      </c>
      <c r="H51" s="2" t="s">
        <v>463</v>
      </c>
      <c r="I51" s="2" t="s">
        <v>464</v>
      </c>
      <c r="J51" s="2" t="s">
        <v>919</v>
      </c>
      <c r="K51" s="2" t="s">
        <v>920</v>
      </c>
      <c r="L51" s="2" t="s">
        <v>368</v>
      </c>
      <c r="M51" s="2" t="s">
        <v>921</v>
      </c>
      <c r="N51" s="2" t="s">
        <v>922</v>
      </c>
      <c r="O51" s="2" t="s">
        <v>923</v>
      </c>
      <c r="P51" s="2" t="s">
        <v>142</v>
      </c>
      <c r="Q51" s="2" t="s">
        <v>143</v>
      </c>
      <c r="R51" s="2"/>
      <c r="S51" s="2" t="s">
        <v>924</v>
      </c>
      <c r="T51" s="2" t="s">
        <v>925</v>
      </c>
      <c r="U51" s="2" t="s">
        <v>463</v>
      </c>
      <c r="V51" s="2" t="s">
        <v>370</v>
      </c>
      <c r="W51" s="2" t="s">
        <v>376</v>
      </c>
      <c r="X51" s="2" t="s">
        <v>926</v>
      </c>
      <c r="Y51" s="2" t="s">
        <v>368</v>
      </c>
      <c r="Z51" s="2" t="s">
        <v>921</v>
      </c>
      <c r="AA51" s="2" t="s">
        <v>927</v>
      </c>
      <c r="AB51" s="2" t="s">
        <v>922</v>
      </c>
      <c r="AC51" s="2" t="s">
        <v>923</v>
      </c>
      <c r="AD51" s="2" t="s">
        <v>83</v>
      </c>
      <c r="AE51" s="2" t="s">
        <v>60</v>
      </c>
      <c r="AF51" s="2" t="s">
        <v>227</v>
      </c>
      <c r="AG51" s="2" t="s">
        <v>62</v>
      </c>
      <c r="AH51" s="2" t="s">
        <v>60</v>
      </c>
      <c r="AI51" s="2" t="s">
        <v>60</v>
      </c>
      <c r="AJ51" s="2"/>
      <c r="AK51" s="2" t="s">
        <v>92</v>
      </c>
      <c r="AL51" s="2" t="s">
        <v>928</v>
      </c>
      <c r="AM51" s="2" t="s">
        <v>929</v>
      </c>
    </row>
    <row r="52" customFormat="false" ht="46.25" hidden="false" customHeight="false" outlineLevel="0" collapsed="false">
      <c r="A52" s="2" t="n">
        <v>51</v>
      </c>
      <c r="B52" s="3" t="s">
        <v>930</v>
      </c>
      <c r="C52" s="2" t="s">
        <v>931</v>
      </c>
      <c r="D52" s="2" t="s">
        <v>97</v>
      </c>
      <c r="E52" s="2" t="s">
        <v>932</v>
      </c>
      <c r="F52" s="2" t="s">
        <v>445</v>
      </c>
      <c r="G52" s="2" t="s">
        <v>446</v>
      </c>
      <c r="H52" s="2" t="s">
        <v>933</v>
      </c>
      <c r="I52" s="2" t="s">
        <v>934</v>
      </c>
      <c r="J52" s="2" t="s">
        <v>769</v>
      </c>
      <c r="K52" s="2" t="s">
        <v>884</v>
      </c>
      <c r="L52" s="2" t="s">
        <v>935</v>
      </c>
      <c r="M52" s="2" t="s">
        <v>936</v>
      </c>
      <c r="N52" s="2" t="s">
        <v>58</v>
      </c>
      <c r="O52" s="2" t="s">
        <v>59</v>
      </c>
      <c r="P52" s="2" t="s">
        <v>445</v>
      </c>
      <c r="Q52" s="2" t="s">
        <v>446</v>
      </c>
      <c r="R52" s="2" t="s">
        <v>937</v>
      </c>
      <c r="S52" s="2" t="s">
        <v>933</v>
      </c>
      <c r="T52" s="2" t="s">
        <v>938</v>
      </c>
      <c r="U52" s="2" t="s">
        <v>939</v>
      </c>
      <c r="V52" s="2" t="s">
        <v>769</v>
      </c>
      <c r="W52" s="2" t="s">
        <v>770</v>
      </c>
      <c r="X52" s="2" t="s">
        <v>940</v>
      </c>
      <c r="Y52" s="2" t="s">
        <v>935</v>
      </c>
      <c r="Z52" s="2" t="s">
        <v>941</v>
      </c>
      <c r="AA52" s="2" t="s">
        <v>942</v>
      </c>
      <c r="AB52" s="2" t="s">
        <v>943</v>
      </c>
      <c r="AC52" s="2" t="s">
        <v>944</v>
      </c>
      <c r="AD52" s="2" t="s">
        <v>945</v>
      </c>
      <c r="AE52" s="2" t="s">
        <v>60</v>
      </c>
      <c r="AF52" s="2" t="s">
        <v>60</v>
      </c>
      <c r="AG52" s="2" t="s">
        <v>60</v>
      </c>
      <c r="AH52" s="2" t="s">
        <v>60</v>
      </c>
      <c r="AI52" s="2" t="s">
        <v>62</v>
      </c>
      <c r="AJ52" s="2"/>
      <c r="AK52" s="2" t="s">
        <v>63</v>
      </c>
      <c r="AL52" s="2" t="s">
        <v>946</v>
      </c>
      <c r="AM52" s="2" t="s">
        <v>947</v>
      </c>
    </row>
    <row r="53" customFormat="false" ht="35.05" hidden="false" customHeight="false" outlineLevel="0" collapsed="false">
      <c r="A53" s="2" t="n">
        <v>52</v>
      </c>
      <c r="B53" s="3" t="s">
        <v>948</v>
      </c>
      <c r="C53" s="2" t="s">
        <v>949</v>
      </c>
      <c r="D53" s="2" t="s">
        <v>188</v>
      </c>
      <c r="E53" s="2" t="s">
        <v>950</v>
      </c>
      <c r="F53" s="2" t="s">
        <v>313</v>
      </c>
      <c r="G53" s="2" t="s">
        <v>314</v>
      </c>
      <c r="H53" s="2" t="s">
        <v>829</v>
      </c>
      <c r="I53" s="2" t="s">
        <v>951</v>
      </c>
      <c r="J53" s="2" t="s">
        <v>952</v>
      </c>
      <c r="K53" s="2" t="s">
        <v>953</v>
      </c>
      <c r="L53" s="2" t="s">
        <v>642</v>
      </c>
      <c r="M53" s="2" t="s">
        <v>643</v>
      </c>
      <c r="N53" s="2" t="s">
        <v>954</v>
      </c>
      <c r="O53" s="2" t="s">
        <v>955</v>
      </c>
      <c r="P53" s="2" t="s">
        <v>313</v>
      </c>
      <c r="Q53" s="2" t="s">
        <v>314</v>
      </c>
      <c r="R53" s="2" t="s">
        <v>956</v>
      </c>
      <c r="S53" s="2" t="s">
        <v>829</v>
      </c>
      <c r="T53" s="2" t="s">
        <v>830</v>
      </c>
      <c r="U53" s="2" t="s">
        <v>279</v>
      </c>
      <c r="V53" s="2" t="s">
        <v>957</v>
      </c>
      <c r="W53" s="2" t="s">
        <v>958</v>
      </c>
      <c r="X53" s="2" t="s">
        <v>959</v>
      </c>
      <c r="Y53" s="2" t="s">
        <v>960</v>
      </c>
      <c r="Z53" s="2" t="s">
        <v>961</v>
      </c>
      <c r="AA53" s="2" t="s">
        <v>962</v>
      </c>
      <c r="AB53" s="2" t="s">
        <v>58</v>
      </c>
      <c r="AC53" s="2" t="s">
        <v>59</v>
      </c>
      <c r="AD53" s="2"/>
      <c r="AE53" s="2" t="s">
        <v>60</v>
      </c>
      <c r="AF53" s="2" t="s">
        <v>60</v>
      </c>
      <c r="AG53" s="2" t="s">
        <v>62</v>
      </c>
      <c r="AH53" s="2" t="s">
        <v>62</v>
      </c>
      <c r="AI53" s="2" t="s">
        <v>62</v>
      </c>
      <c r="AJ53" s="2"/>
      <c r="AK53" s="2" t="s">
        <v>63</v>
      </c>
      <c r="AL53" s="2" t="s">
        <v>963</v>
      </c>
      <c r="AM53" s="2" t="s">
        <v>964</v>
      </c>
    </row>
    <row r="54" customFormat="false" ht="35.05" hidden="false" customHeight="false" outlineLevel="0" collapsed="false">
      <c r="A54" s="2" t="n">
        <v>53</v>
      </c>
      <c r="B54" s="3" t="s">
        <v>965</v>
      </c>
      <c r="C54" s="2" t="s">
        <v>966</v>
      </c>
      <c r="D54" s="2" t="s">
        <v>41</v>
      </c>
      <c r="E54" s="2" t="s">
        <v>967</v>
      </c>
      <c r="F54" s="2" t="s">
        <v>968</v>
      </c>
      <c r="G54" s="2" t="s">
        <v>969</v>
      </c>
      <c r="H54" s="2" t="s">
        <v>97</v>
      </c>
      <c r="I54" s="2" t="s">
        <v>600</v>
      </c>
      <c r="J54" s="2" t="s">
        <v>970</v>
      </c>
      <c r="K54" s="2" t="s">
        <v>971</v>
      </c>
      <c r="L54" s="2" t="s">
        <v>78</v>
      </c>
      <c r="M54" s="2" t="s">
        <v>79</v>
      </c>
      <c r="N54" s="2" t="s">
        <v>58</v>
      </c>
      <c r="O54" s="2" t="s">
        <v>59</v>
      </c>
      <c r="P54" s="2" t="s">
        <v>968</v>
      </c>
      <c r="Q54" s="2" t="s">
        <v>969</v>
      </c>
      <c r="R54" s="2" t="s">
        <v>972</v>
      </c>
      <c r="S54" s="2" t="s">
        <v>97</v>
      </c>
      <c r="T54" s="2" t="s">
        <v>600</v>
      </c>
      <c r="U54" s="2" t="s">
        <v>973</v>
      </c>
      <c r="V54" s="2" t="s">
        <v>86</v>
      </c>
      <c r="W54" s="2" t="s">
        <v>87</v>
      </c>
      <c r="X54" s="2" t="s">
        <v>974</v>
      </c>
      <c r="Y54" s="2" t="s">
        <v>78</v>
      </c>
      <c r="Z54" s="2" t="s">
        <v>89</v>
      </c>
      <c r="AA54" s="2" t="s">
        <v>76</v>
      </c>
      <c r="AB54" s="2" t="s">
        <v>58</v>
      </c>
      <c r="AC54" s="2" t="s">
        <v>59</v>
      </c>
      <c r="AD54" s="2"/>
      <c r="AE54" s="2" t="s">
        <v>60</v>
      </c>
      <c r="AF54" s="2" t="s">
        <v>60</v>
      </c>
      <c r="AG54" s="2" t="s">
        <v>90</v>
      </c>
      <c r="AH54" s="2" t="s">
        <v>60</v>
      </c>
      <c r="AI54" s="2" t="s">
        <v>60</v>
      </c>
      <c r="AJ54" s="2"/>
      <c r="AK54" s="2" t="s">
        <v>63</v>
      </c>
      <c r="AL54" s="2" t="s">
        <v>975</v>
      </c>
      <c r="AM54" s="2" t="s">
        <v>976</v>
      </c>
    </row>
    <row r="55" customFormat="false" ht="23.85" hidden="false" customHeight="false" outlineLevel="0" collapsed="false">
      <c r="A55" s="2" t="n">
        <v>54</v>
      </c>
      <c r="B55" s="3" t="s">
        <v>977</v>
      </c>
      <c r="C55" s="2" t="s">
        <v>978</v>
      </c>
      <c r="D55" s="2" t="s">
        <v>68</v>
      </c>
      <c r="E55" s="2" t="s">
        <v>979</v>
      </c>
      <c r="F55" s="2" t="s">
        <v>490</v>
      </c>
      <c r="G55" s="2" t="s">
        <v>491</v>
      </c>
      <c r="H55" s="2" t="s">
        <v>980</v>
      </c>
      <c r="I55" s="2" t="s">
        <v>981</v>
      </c>
      <c r="J55" s="2" t="s">
        <v>982</v>
      </c>
      <c r="K55" s="2" t="s">
        <v>983</v>
      </c>
      <c r="L55" s="2" t="s">
        <v>149</v>
      </c>
      <c r="M55" s="2" t="s">
        <v>984</v>
      </c>
      <c r="N55" s="2" t="s">
        <v>985</v>
      </c>
      <c r="O55" s="2" t="s">
        <v>986</v>
      </c>
      <c r="P55" s="2" t="s">
        <v>80</v>
      </c>
      <c r="Q55" s="2" t="s">
        <v>81</v>
      </c>
      <c r="R55" s="2" t="s">
        <v>498</v>
      </c>
      <c r="S55" s="2" t="s">
        <v>980</v>
      </c>
      <c r="T55" s="2" t="s">
        <v>981</v>
      </c>
      <c r="U55" s="2"/>
      <c r="V55" s="2" t="s">
        <v>982</v>
      </c>
      <c r="W55" s="2" t="s">
        <v>983</v>
      </c>
      <c r="X55" s="2" t="s">
        <v>987</v>
      </c>
      <c r="Y55" s="2" t="s">
        <v>988</v>
      </c>
      <c r="Z55" s="2" t="s">
        <v>989</v>
      </c>
      <c r="AA55" s="2" t="s">
        <v>990</v>
      </c>
      <c r="AB55" s="2" t="s">
        <v>58</v>
      </c>
      <c r="AC55" s="2" t="s">
        <v>59</v>
      </c>
      <c r="AD55" s="2"/>
      <c r="AE55" s="2" t="s">
        <v>61</v>
      </c>
      <c r="AF55" s="2" t="s">
        <v>60</v>
      </c>
      <c r="AG55" s="2" t="s">
        <v>60</v>
      </c>
      <c r="AH55" s="2" t="s">
        <v>62</v>
      </c>
      <c r="AI55" s="2" t="s">
        <v>90</v>
      </c>
      <c r="AJ55" s="2"/>
      <c r="AK55" s="2" t="s">
        <v>63</v>
      </c>
      <c r="AL55" s="2" t="s">
        <v>991</v>
      </c>
      <c r="AM55" s="2" t="s">
        <v>992</v>
      </c>
    </row>
    <row r="56" customFormat="false" ht="91" hidden="false" customHeight="false" outlineLevel="0" collapsed="false">
      <c r="A56" s="2" t="n">
        <v>55</v>
      </c>
      <c r="B56" s="3" t="s">
        <v>993</v>
      </c>
      <c r="C56" s="2" t="s">
        <v>994</v>
      </c>
      <c r="D56" s="2" t="s">
        <v>97</v>
      </c>
      <c r="E56" s="2" t="s">
        <v>995</v>
      </c>
      <c r="F56" s="2" t="s">
        <v>810</v>
      </c>
      <c r="G56" s="2" t="s">
        <v>811</v>
      </c>
      <c r="H56" s="2" t="s">
        <v>329</v>
      </c>
      <c r="I56" s="2" t="s">
        <v>330</v>
      </c>
      <c r="J56" s="2" t="s">
        <v>437</v>
      </c>
      <c r="K56" s="2" t="s">
        <v>465</v>
      </c>
      <c r="L56" s="2" t="s">
        <v>996</v>
      </c>
      <c r="M56" s="2" t="s">
        <v>997</v>
      </c>
      <c r="N56" s="2" t="s">
        <v>998</v>
      </c>
      <c r="O56" s="2" t="s">
        <v>999</v>
      </c>
      <c r="P56" s="2" t="s">
        <v>810</v>
      </c>
      <c r="Q56" s="2" t="s">
        <v>811</v>
      </c>
      <c r="R56" s="2" t="s">
        <v>1000</v>
      </c>
      <c r="S56" s="2" t="s">
        <v>329</v>
      </c>
      <c r="T56" s="2" t="s">
        <v>330</v>
      </c>
      <c r="U56" s="2" t="s">
        <v>1001</v>
      </c>
      <c r="V56" s="2" t="s">
        <v>1002</v>
      </c>
      <c r="W56" s="2" t="s">
        <v>1003</v>
      </c>
      <c r="X56" s="2" t="s">
        <v>1004</v>
      </c>
      <c r="Y56" s="2" t="s">
        <v>1005</v>
      </c>
      <c r="Z56" s="2" t="s">
        <v>1006</v>
      </c>
      <c r="AA56" s="2" t="s">
        <v>1007</v>
      </c>
      <c r="AB56" s="2" t="s">
        <v>1008</v>
      </c>
      <c r="AC56" s="2" t="s">
        <v>1009</v>
      </c>
      <c r="AD56" s="2" t="s">
        <v>1010</v>
      </c>
      <c r="AE56" s="2" t="s">
        <v>60</v>
      </c>
      <c r="AF56" s="2" t="s">
        <v>60</v>
      </c>
      <c r="AG56" s="2" t="s">
        <v>62</v>
      </c>
      <c r="AH56" s="2" t="s">
        <v>62</v>
      </c>
      <c r="AI56" s="2" t="s">
        <v>62</v>
      </c>
      <c r="AJ56" s="2"/>
      <c r="AK56" s="2" t="s">
        <v>92</v>
      </c>
      <c r="AL56" s="2" t="s">
        <v>1011</v>
      </c>
      <c r="AM56" s="2" t="s">
        <v>1012</v>
      </c>
    </row>
    <row r="57" customFormat="false" ht="46.25" hidden="false" customHeight="false" outlineLevel="0" collapsed="false">
      <c r="A57" s="2" t="n">
        <v>56</v>
      </c>
      <c r="B57" s="3" t="s">
        <v>1013</v>
      </c>
      <c r="C57" s="2" t="s">
        <v>1014</v>
      </c>
      <c r="D57" s="2" t="s">
        <v>383</v>
      </c>
      <c r="E57" s="2" t="s">
        <v>1015</v>
      </c>
      <c r="F57" s="2" t="s">
        <v>313</v>
      </c>
      <c r="G57" s="2" t="s">
        <v>314</v>
      </c>
      <c r="H57" s="2" t="s">
        <v>933</v>
      </c>
      <c r="I57" s="2" t="s">
        <v>934</v>
      </c>
      <c r="J57" s="2" t="s">
        <v>222</v>
      </c>
      <c r="K57" s="2" t="s">
        <v>1016</v>
      </c>
      <c r="L57" s="2" t="s">
        <v>219</v>
      </c>
      <c r="M57" s="2" t="s">
        <v>220</v>
      </c>
      <c r="N57" s="2" t="s">
        <v>58</v>
      </c>
      <c r="O57" s="2" t="s">
        <v>59</v>
      </c>
      <c r="P57" s="2" t="s">
        <v>313</v>
      </c>
      <c r="Q57" s="2" t="s">
        <v>314</v>
      </c>
      <c r="R57" s="2" t="s">
        <v>1017</v>
      </c>
      <c r="S57" s="2" t="s">
        <v>933</v>
      </c>
      <c r="T57" s="2" t="s">
        <v>938</v>
      </c>
      <c r="U57" s="2" t="s">
        <v>1018</v>
      </c>
      <c r="V57" s="2" t="s">
        <v>222</v>
      </c>
      <c r="W57" s="2" t="s">
        <v>223</v>
      </c>
      <c r="X57" s="2" t="s">
        <v>1019</v>
      </c>
      <c r="Y57" s="2" t="s">
        <v>219</v>
      </c>
      <c r="Z57" s="2" t="s">
        <v>225</v>
      </c>
      <c r="AA57" s="2" t="s">
        <v>484</v>
      </c>
      <c r="AB57" s="2" t="s">
        <v>58</v>
      </c>
      <c r="AC57" s="2" t="s">
        <v>59</v>
      </c>
      <c r="AD57" s="2"/>
      <c r="AE57" s="2" t="s">
        <v>60</v>
      </c>
      <c r="AF57" s="2" t="s">
        <v>60</v>
      </c>
      <c r="AG57" s="2" t="s">
        <v>60</v>
      </c>
      <c r="AH57" s="2" t="s">
        <v>60</v>
      </c>
      <c r="AI57" s="2" t="s">
        <v>60</v>
      </c>
      <c r="AJ57" s="2"/>
      <c r="AK57" s="2" t="s">
        <v>92</v>
      </c>
      <c r="AL57" s="2" t="s">
        <v>1020</v>
      </c>
      <c r="AM57" s="2"/>
    </row>
    <row r="58" customFormat="false" ht="35.05" hidden="false" customHeight="false" outlineLevel="0" collapsed="false">
      <c r="A58" s="2" t="n">
        <v>57</v>
      </c>
      <c r="B58" s="3" t="s">
        <v>1021</v>
      </c>
      <c r="C58" s="2" t="s">
        <v>1022</v>
      </c>
      <c r="D58" s="2" t="s">
        <v>68</v>
      </c>
      <c r="E58" s="2" t="s">
        <v>1023</v>
      </c>
      <c r="F58" s="2" t="s">
        <v>99</v>
      </c>
      <c r="G58" s="2" t="s">
        <v>100</v>
      </c>
      <c r="H58" s="2" t="s">
        <v>101</v>
      </c>
      <c r="I58" s="2" t="s">
        <v>102</v>
      </c>
      <c r="J58" s="2" t="s">
        <v>982</v>
      </c>
      <c r="K58" s="2" t="s">
        <v>983</v>
      </c>
      <c r="L58" s="2" t="s">
        <v>149</v>
      </c>
      <c r="M58" s="2" t="s">
        <v>984</v>
      </c>
      <c r="N58" s="2" t="s">
        <v>58</v>
      </c>
      <c r="O58" s="2" t="s">
        <v>59</v>
      </c>
      <c r="P58" s="2" t="s">
        <v>99</v>
      </c>
      <c r="Q58" s="2" t="s">
        <v>100</v>
      </c>
      <c r="R58" s="2"/>
      <c r="S58" s="2" t="s">
        <v>622</v>
      </c>
      <c r="T58" s="2" t="s">
        <v>1024</v>
      </c>
      <c r="U58" s="2" t="s">
        <v>1025</v>
      </c>
      <c r="V58" s="2" t="s">
        <v>982</v>
      </c>
      <c r="W58" s="2" t="s">
        <v>983</v>
      </c>
      <c r="X58" s="2" t="s">
        <v>1026</v>
      </c>
      <c r="Y58" s="2" t="s">
        <v>149</v>
      </c>
      <c r="Z58" s="2" t="s">
        <v>984</v>
      </c>
      <c r="AA58" s="2" t="s">
        <v>1027</v>
      </c>
      <c r="AB58" s="2" t="s">
        <v>58</v>
      </c>
      <c r="AC58" s="2" t="s">
        <v>59</v>
      </c>
      <c r="AD58" s="2" t="s">
        <v>935</v>
      </c>
      <c r="AE58" s="2" t="s">
        <v>60</v>
      </c>
      <c r="AF58" s="2" t="s">
        <v>61</v>
      </c>
      <c r="AG58" s="2" t="s">
        <v>60</v>
      </c>
      <c r="AH58" s="2" t="s">
        <v>60</v>
      </c>
      <c r="AI58" s="2" t="s">
        <v>60</v>
      </c>
      <c r="AJ58" s="2"/>
      <c r="AK58" s="2" t="s">
        <v>63</v>
      </c>
      <c r="AL58" s="2" t="s">
        <v>1028</v>
      </c>
      <c r="AM58" s="2" t="s">
        <v>1029</v>
      </c>
    </row>
    <row r="59" customFormat="false" ht="35.05" hidden="false" customHeight="false" outlineLevel="0" collapsed="false">
      <c r="A59" s="2" t="n">
        <v>58</v>
      </c>
      <c r="B59" s="3" t="s">
        <v>1030</v>
      </c>
      <c r="C59" s="2" t="s">
        <v>1031</v>
      </c>
      <c r="D59" s="2" t="s">
        <v>97</v>
      </c>
      <c r="E59" s="2" t="s">
        <v>1032</v>
      </c>
      <c r="F59" s="2" t="s">
        <v>1033</v>
      </c>
      <c r="G59" s="2" t="s">
        <v>1034</v>
      </c>
      <c r="H59" s="2" t="s">
        <v>586</v>
      </c>
      <c r="I59" s="2" t="s">
        <v>587</v>
      </c>
      <c r="J59" s="2" t="s">
        <v>1002</v>
      </c>
      <c r="K59" s="2" t="s">
        <v>1003</v>
      </c>
      <c r="L59" s="2" t="s">
        <v>1035</v>
      </c>
      <c r="M59" s="2" t="s">
        <v>1036</v>
      </c>
      <c r="N59" s="2" t="s">
        <v>1037</v>
      </c>
      <c r="O59" s="2" t="s">
        <v>1038</v>
      </c>
      <c r="P59" s="2" t="s">
        <v>1033</v>
      </c>
      <c r="Q59" s="2" t="s">
        <v>1039</v>
      </c>
      <c r="R59" s="2" t="s">
        <v>1040</v>
      </c>
      <c r="S59" s="2" t="s">
        <v>586</v>
      </c>
      <c r="T59" s="2" t="s">
        <v>587</v>
      </c>
      <c r="U59" s="2"/>
      <c r="V59" s="2" t="s">
        <v>1041</v>
      </c>
      <c r="W59" s="2" t="s">
        <v>1042</v>
      </c>
      <c r="X59" s="2" t="s">
        <v>1043</v>
      </c>
      <c r="Y59" s="2" t="s">
        <v>1044</v>
      </c>
      <c r="Z59" s="2" t="s">
        <v>1045</v>
      </c>
      <c r="AA59" s="2" t="s">
        <v>1046</v>
      </c>
      <c r="AB59" s="2" t="s">
        <v>1037</v>
      </c>
      <c r="AC59" s="2" t="s">
        <v>1038</v>
      </c>
      <c r="AD59" s="2" t="s">
        <v>1047</v>
      </c>
      <c r="AE59" s="2" t="s">
        <v>60</v>
      </c>
      <c r="AF59" s="2" t="s">
        <v>60</v>
      </c>
      <c r="AG59" s="2" t="s">
        <v>62</v>
      </c>
      <c r="AH59" s="2" t="s">
        <v>90</v>
      </c>
      <c r="AI59" s="2" t="s">
        <v>60</v>
      </c>
      <c r="AJ59" s="2"/>
      <c r="AK59" s="2" t="s">
        <v>63</v>
      </c>
      <c r="AL59" s="2" t="s">
        <v>1048</v>
      </c>
      <c r="AM59" s="2" t="s">
        <v>1049</v>
      </c>
    </row>
    <row r="60" customFormat="false" ht="57.45" hidden="false" customHeight="false" outlineLevel="0" collapsed="false">
      <c r="A60" s="2" t="n">
        <v>59</v>
      </c>
      <c r="B60" s="3" t="s">
        <v>1050</v>
      </c>
      <c r="C60" s="2" t="s">
        <v>1051</v>
      </c>
      <c r="D60" s="2" t="s">
        <v>508</v>
      </c>
      <c r="E60" s="2" t="s">
        <v>1052</v>
      </c>
      <c r="F60" s="2" t="s">
        <v>333</v>
      </c>
      <c r="G60" s="2" t="s">
        <v>334</v>
      </c>
      <c r="H60" s="2" t="s">
        <v>329</v>
      </c>
      <c r="I60" s="2" t="s">
        <v>330</v>
      </c>
      <c r="J60" s="2" t="s">
        <v>1053</v>
      </c>
      <c r="K60" s="2" t="s">
        <v>1054</v>
      </c>
      <c r="L60" s="2" t="s">
        <v>1055</v>
      </c>
      <c r="M60" s="2" t="s">
        <v>1056</v>
      </c>
      <c r="N60" s="2" t="s">
        <v>83</v>
      </c>
      <c r="O60" s="2" t="s">
        <v>238</v>
      </c>
      <c r="P60" s="2" t="s">
        <v>333</v>
      </c>
      <c r="Q60" s="2" t="s">
        <v>334</v>
      </c>
      <c r="R60" s="2" t="s">
        <v>1057</v>
      </c>
      <c r="S60" s="2" t="s">
        <v>1058</v>
      </c>
      <c r="T60" s="2" t="s">
        <v>1059</v>
      </c>
      <c r="U60" s="2" t="s">
        <v>1060</v>
      </c>
      <c r="V60" s="2" t="s">
        <v>519</v>
      </c>
      <c r="W60" s="2" t="s">
        <v>520</v>
      </c>
      <c r="X60" s="2" t="s">
        <v>1061</v>
      </c>
      <c r="Y60" s="2" t="s">
        <v>532</v>
      </c>
      <c r="Z60" s="2" t="s">
        <v>1062</v>
      </c>
      <c r="AA60" s="2" t="s">
        <v>1063</v>
      </c>
      <c r="AB60" s="2" t="s">
        <v>58</v>
      </c>
      <c r="AC60" s="2" t="s">
        <v>59</v>
      </c>
      <c r="AD60" s="2" t="s">
        <v>83</v>
      </c>
      <c r="AE60" s="2" t="s">
        <v>60</v>
      </c>
      <c r="AF60" s="2" t="s">
        <v>62</v>
      </c>
      <c r="AG60" s="2" t="s">
        <v>62</v>
      </c>
      <c r="AH60" s="2" t="s">
        <v>61</v>
      </c>
      <c r="AI60" s="2" t="s">
        <v>62</v>
      </c>
      <c r="AJ60" s="2"/>
      <c r="AK60" s="2" t="s">
        <v>63</v>
      </c>
      <c r="AL60" s="2" t="s">
        <v>1064</v>
      </c>
      <c r="AM60" s="2" t="s">
        <v>1065</v>
      </c>
    </row>
    <row r="61" customFormat="false" ht="68.65" hidden="false" customHeight="false" outlineLevel="0" collapsed="false">
      <c r="A61" s="2" t="n">
        <v>60</v>
      </c>
      <c r="B61" s="3" t="s">
        <v>1066</v>
      </c>
      <c r="C61" s="2" t="s">
        <v>1067</v>
      </c>
      <c r="D61" s="2" t="s">
        <v>214</v>
      </c>
      <c r="E61" s="2" t="s">
        <v>1068</v>
      </c>
      <c r="F61" s="2" t="s">
        <v>1069</v>
      </c>
      <c r="G61" s="2" t="s">
        <v>1070</v>
      </c>
      <c r="H61" s="2" t="s">
        <v>192</v>
      </c>
      <c r="I61" s="2" t="s">
        <v>193</v>
      </c>
      <c r="J61" s="2" t="s">
        <v>83</v>
      </c>
      <c r="K61" s="2" t="s">
        <v>218</v>
      </c>
      <c r="L61" s="2" t="s">
        <v>83</v>
      </c>
      <c r="M61" s="2" t="s">
        <v>238</v>
      </c>
      <c r="N61" s="2" t="s">
        <v>83</v>
      </c>
      <c r="O61" s="2" t="s">
        <v>238</v>
      </c>
      <c r="P61" s="2" t="s">
        <v>1069</v>
      </c>
      <c r="Q61" s="2" t="s">
        <v>1070</v>
      </c>
      <c r="R61" s="2" t="s">
        <v>1071</v>
      </c>
      <c r="S61" s="2" t="s">
        <v>1072</v>
      </c>
      <c r="T61" s="2" t="s">
        <v>1073</v>
      </c>
      <c r="U61" s="2" t="s">
        <v>1074</v>
      </c>
      <c r="V61" s="2" t="s">
        <v>83</v>
      </c>
      <c r="W61" s="2" t="s">
        <v>146</v>
      </c>
      <c r="X61" s="2" t="s">
        <v>1075</v>
      </c>
      <c r="Y61" s="2" t="s">
        <v>83</v>
      </c>
      <c r="Z61" s="2" t="s">
        <v>148</v>
      </c>
      <c r="AA61" s="2" t="s">
        <v>1076</v>
      </c>
      <c r="AB61" s="2" t="s">
        <v>83</v>
      </c>
      <c r="AC61" s="2" t="s">
        <v>148</v>
      </c>
      <c r="AD61" s="2" t="s">
        <v>58</v>
      </c>
      <c r="AE61" s="2" t="s">
        <v>60</v>
      </c>
      <c r="AF61" s="2" t="s">
        <v>62</v>
      </c>
      <c r="AG61" s="2" t="s">
        <v>90</v>
      </c>
      <c r="AH61" s="2" t="s">
        <v>90</v>
      </c>
      <c r="AI61" s="2" t="s">
        <v>60</v>
      </c>
      <c r="AJ61" s="2" t="s">
        <v>150</v>
      </c>
      <c r="AK61" s="2" t="s">
        <v>92</v>
      </c>
      <c r="AL61" s="2" t="s">
        <v>1077</v>
      </c>
      <c r="AM61" s="2" t="s">
        <v>1078</v>
      </c>
    </row>
    <row r="62" customFormat="false" ht="23.85" hidden="false" customHeight="false" outlineLevel="0" collapsed="false">
      <c r="A62" s="2" t="n">
        <v>61</v>
      </c>
      <c r="B62" s="3" t="s">
        <v>1079</v>
      </c>
      <c r="C62" s="2" t="s">
        <v>1080</v>
      </c>
      <c r="D62" s="2" t="s">
        <v>68</v>
      </c>
      <c r="E62" s="2" t="s">
        <v>1081</v>
      </c>
      <c r="F62" s="2" t="s">
        <v>387</v>
      </c>
      <c r="G62" s="2" t="s">
        <v>671</v>
      </c>
      <c r="H62" s="2" t="s">
        <v>656</v>
      </c>
      <c r="I62" s="2" t="s">
        <v>750</v>
      </c>
      <c r="J62" s="2" t="s">
        <v>982</v>
      </c>
      <c r="K62" s="2" t="s">
        <v>983</v>
      </c>
      <c r="L62" s="2" t="s">
        <v>149</v>
      </c>
      <c r="M62" s="2" t="s">
        <v>984</v>
      </c>
      <c r="N62" s="2" t="s">
        <v>58</v>
      </c>
      <c r="O62" s="2" t="s">
        <v>59</v>
      </c>
      <c r="P62" s="2" t="s">
        <v>387</v>
      </c>
      <c r="Q62" s="2" t="s">
        <v>671</v>
      </c>
      <c r="R62" s="2"/>
      <c r="S62" s="2" t="s">
        <v>656</v>
      </c>
      <c r="T62" s="2" t="s">
        <v>1082</v>
      </c>
      <c r="U62" s="2" t="s">
        <v>1083</v>
      </c>
      <c r="V62" s="2" t="s">
        <v>982</v>
      </c>
      <c r="W62" s="2" t="s">
        <v>983</v>
      </c>
      <c r="X62" s="2" t="s">
        <v>1026</v>
      </c>
      <c r="Y62" s="2" t="s">
        <v>149</v>
      </c>
      <c r="Z62" s="2" t="s">
        <v>984</v>
      </c>
      <c r="AA62" s="2" t="s">
        <v>1027</v>
      </c>
      <c r="AB62" s="2" t="s">
        <v>58</v>
      </c>
      <c r="AC62" s="2" t="s">
        <v>59</v>
      </c>
      <c r="AD62" s="2"/>
      <c r="AE62" s="2" t="s">
        <v>60</v>
      </c>
      <c r="AF62" s="2" t="s">
        <v>60</v>
      </c>
      <c r="AG62" s="2" t="s">
        <v>60</v>
      </c>
      <c r="AH62" s="2" t="s">
        <v>60</v>
      </c>
      <c r="AI62" s="2" t="s">
        <v>60</v>
      </c>
      <c r="AJ62" s="2"/>
      <c r="AK62" s="2" t="s">
        <v>63</v>
      </c>
      <c r="AL62" s="2" t="s">
        <v>1084</v>
      </c>
      <c r="AM62" s="2"/>
    </row>
    <row r="63" customFormat="false" ht="68.65" hidden="false" customHeight="false" outlineLevel="0" collapsed="false">
      <c r="A63" s="2" t="n">
        <v>62</v>
      </c>
      <c r="B63" s="3" t="s">
        <v>1085</v>
      </c>
      <c r="C63" s="2" t="s">
        <v>1086</v>
      </c>
      <c r="D63" s="2" t="s">
        <v>383</v>
      </c>
      <c r="E63" s="2" t="s">
        <v>1087</v>
      </c>
      <c r="F63" s="2" t="s">
        <v>1088</v>
      </c>
      <c r="G63" s="2" t="s">
        <v>1089</v>
      </c>
      <c r="H63" s="2" t="s">
        <v>1090</v>
      </c>
      <c r="I63" s="2" t="s">
        <v>1091</v>
      </c>
      <c r="J63" s="2" t="s">
        <v>1092</v>
      </c>
      <c r="K63" s="2" t="s">
        <v>1093</v>
      </c>
      <c r="L63" s="2" t="s">
        <v>1094</v>
      </c>
      <c r="M63" s="2" t="s">
        <v>1095</v>
      </c>
      <c r="N63" s="2" t="s">
        <v>58</v>
      </c>
      <c r="O63" s="2" t="s">
        <v>59</v>
      </c>
      <c r="P63" s="2" t="s">
        <v>1088</v>
      </c>
      <c r="Q63" s="2" t="s">
        <v>1089</v>
      </c>
      <c r="R63" s="2" t="s">
        <v>1096</v>
      </c>
      <c r="S63" s="2" t="s">
        <v>1090</v>
      </c>
      <c r="T63" s="2" t="s">
        <v>1091</v>
      </c>
      <c r="U63" s="2" t="s">
        <v>1097</v>
      </c>
      <c r="V63" s="2" t="s">
        <v>1098</v>
      </c>
      <c r="W63" s="2" t="s">
        <v>1099</v>
      </c>
      <c r="X63" s="2" t="s">
        <v>1100</v>
      </c>
      <c r="Y63" s="2" t="s">
        <v>360</v>
      </c>
      <c r="Z63" s="2" t="s">
        <v>361</v>
      </c>
      <c r="AA63" s="2" t="s">
        <v>1101</v>
      </c>
      <c r="AB63" s="2" t="s">
        <v>219</v>
      </c>
      <c r="AC63" s="2" t="s">
        <v>225</v>
      </c>
      <c r="AD63" s="2" t="s">
        <v>58</v>
      </c>
      <c r="AE63" s="2" t="s">
        <v>60</v>
      </c>
      <c r="AF63" s="2" t="s">
        <v>60</v>
      </c>
      <c r="AG63" s="2" t="s">
        <v>62</v>
      </c>
      <c r="AH63" s="2" t="s">
        <v>62</v>
      </c>
      <c r="AI63" s="2" t="s">
        <v>62</v>
      </c>
      <c r="AJ63" s="2"/>
      <c r="AK63" s="2" t="s">
        <v>92</v>
      </c>
      <c r="AL63" s="2" t="s">
        <v>1102</v>
      </c>
      <c r="AM63" s="2" t="s">
        <v>1103</v>
      </c>
    </row>
    <row r="64" customFormat="false" ht="46.25" hidden="false" customHeight="false" outlineLevel="0" collapsed="false">
      <c r="A64" s="2" t="n">
        <v>63</v>
      </c>
      <c r="B64" s="3" t="s">
        <v>1104</v>
      </c>
      <c r="C64" s="2" t="s">
        <v>879</v>
      </c>
      <c r="D64" s="2" t="s">
        <v>188</v>
      </c>
      <c r="E64" s="2" t="s">
        <v>1105</v>
      </c>
      <c r="F64" s="2" t="s">
        <v>179</v>
      </c>
      <c r="G64" s="2" t="s">
        <v>233</v>
      </c>
      <c r="H64" s="2" t="s">
        <v>234</v>
      </c>
      <c r="I64" s="2" t="s">
        <v>235</v>
      </c>
      <c r="J64" s="2" t="s">
        <v>952</v>
      </c>
      <c r="K64" s="2" t="s">
        <v>953</v>
      </c>
      <c r="L64" s="2" t="s">
        <v>196</v>
      </c>
      <c r="M64" s="2" t="s">
        <v>197</v>
      </c>
      <c r="N64" s="2" t="s">
        <v>622</v>
      </c>
      <c r="O64" s="2" t="s">
        <v>623</v>
      </c>
      <c r="P64" s="2" t="s">
        <v>179</v>
      </c>
      <c r="Q64" s="2" t="s">
        <v>180</v>
      </c>
      <c r="R64" s="2" t="s">
        <v>481</v>
      </c>
      <c r="S64" s="2" t="s">
        <v>234</v>
      </c>
      <c r="T64" s="2" t="s">
        <v>235</v>
      </c>
      <c r="U64" s="2" t="s">
        <v>482</v>
      </c>
      <c r="V64" s="2" t="s">
        <v>769</v>
      </c>
      <c r="W64" s="2" t="s">
        <v>770</v>
      </c>
      <c r="X64" s="2" t="s">
        <v>771</v>
      </c>
      <c r="Y64" s="2" t="s">
        <v>622</v>
      </c>
      <c r="Z64" s="2" t="s">
        <v>1106</v>
      </c>
      <c r="AA64" s="2" t="s">
        <v>296</v>
      </c>
      <c r="AB64" s="2" t="s">
        <v>58</v>
      </c>
      <c r="AC64" s="2" t="s">
        <v>59</v>
      </c>
      <c r="AD64" s="2" t="s">
        <v>83</v>
      </c>
      <c r="AE64" s="2" t="s">
        <v>60</v>
      </c>
      <c r="AF64" s="2" t="s">
        <v>60</v>
      </c>
      <c r="AG64" s="2" t="s">
        <v>62</v>
      </c>
      <c r="AH64" s="2" t="s">
        <v>90</v>
      </c>
      <c r="AI64" s="2" t="s">
        <v>90</v>
      </c>
      <c r="AJ64" s="2" t="s">
        <v>1107</v>
      </c>
      <c r="AK64" s="2" t="s">
        <v>92</v>
      </c>
      <c r="AL64" s="2" t="s">
        <v>1108</v>
      </c>
      <c r="AM64" s="2" t="s">
        <v>1109</v>
      </c>
    </row>
    <row r="65" customFormat="false" ht="35.05" hidden="false" customHeight="false" outlineLevel="0" collapsed="false">
      <c r="A65" s="2" t="n">
        <v>64</v>
      </c>
      <c r="B65" s="3" t="s">
        <v>1110</v>
      </c>
      <c r="C65" s="2" t="s">
        <v>1111</v>
      </c>
      <c r="D65" s="2" t="s">
        <v>97</v>
      </c>
      <c r="E65" s="2" t="s">
        <v>1112</v>
      </c>
      <c r="F65" s="2" t="s">
        <v>142</v>
      </c>
      <c r="G65" s="2" t="s">
        <v>143</v>
      </c>
      <c r="H65" s="2" t="s">
        <v>829</v>
      </c>
      <c r="I65" s="2" t="s">
        <v>951</v>
      </c>
      <c r="J65" s="2" t="s">
        <v>769</v>
      </c>
      <c r="K65" s="2" t="s">
        <v>884</v>
      </c>
      <c r="L65" s="2" t="s">
        <v>1113</v>
      </c>
      <c r="M65" s="2" t="s">
        <v>1114</v>
      </c>
      <c r="N65" s="2" t="s">
        <v>58</v>
      </c>
      <c r="O65" s="2" t="s">
        <v>59</v>
      </c>
      <c r="P65" s="2" t="s">
        <v>142</v>
      </c>
      <c r="Q65" s="2" t="s">
        <v>143</v>
      </c>
      <c r="R65" s="2"/>
      <c r="S65" s="2" t="s">
        <v>829</v>
      </c>
      <c r="T65" s="2" t="s">
        <v>830</v>
      </c>
      <c r="U65" s="2" t="s">
        <v>270</v>
      </c>
      <c r="V65" s="2" t="s">
        <v>769</v>
      </c>
      <c r="W65" s="2" t="s">
        <v>770</v>
      </c>
      <c r="X65" s="2" t="s">
        <v>1115</v>
      </c>
      <c r="Y65" s="2" t="s">
        <v>892</v>
      </c>
      <c r="Z65" s="2" t="s">
        <v>893</v>
      </c>
      <c r="AA65" s="2" t="s">
        <v>1116</v>
      </c>
      <c r="AB65" s="2" t="s">
        <v>658</v>
      </c>
      <c r="AC65" s="2" t="s">
        <v>665</v>
      </c>
      <c r="AD65" s="2" t="s">
        <v>58</v>
      </c>
      <c r="AE65" s="2" t="s">
        <v>60</v>
      </c>
      <c r="AF65" s="2" t="s">
        <v>60</v>
      </c>
      <c r="AG65" s="2" t="s">
        <v>60</v>
      </c>
      <c r="AH65" s="2" t="s">
        <v>62</v>
      </c>
      <c r="AI65" s="2" t="s">
        <v>62</v>
      </c>
      <c r="AJ65" s="2"/>
      <c r="AK65" s="2" t="s">
        <v>63</v>
      </c>
      <c r="AL65" s="2" t="s">
        <v>1117</v>
      </c>
      <c r="AM65" s="2" t="s">
        <v>1118</v>
      </c>
    </row>
    <row r="66" customFormat="false" ht="35.05" hidden="false" customHeight="false" outlineLevel="0" collapsed="false">
      <c r="A66" s="2" t="n">
        <v>65</v>
      </c>
      <c r="B66" s="3" t="s">
        <v>1119</v>
      </c>
      <c r="C66" s="2" t="s">
        <v>1120</v>
      </c>
      <c r="D66" s="2" t="s">
        <v>508</v>
      </c>
      <c r="E66" s="2" t="s">
        <v>1121</v>
      </c>
      <c r="F66" s="2" t="s">
        <v>408</v>
      </c>
      <c r="G66" s="2" t="s">
        <v>409</v>
      </c>
      <c r="H66" s="2" t="s">
        <v>410</v>
      </c>
      <c r="I66" s="2" t="s">
        <v>411</v>
      </c>
      <c r="J66" s="2" t="s">
        <v>192</v>
      </c>
      <c r="K66" s="2" t="s">
        <v>902</v>
      </c>
      <c r="L66" s="2" t="s">
        <v>857</v>
      </c>
      <c r="M66" s="2" t="s">
        <v>1122</v>
      </c>
      <c r="N66" s="2" t="s">
        <v>905</v>
      </c>
      <c r="O66" s="2" t="s">
        <v>906</v>
      </c>
      <c r="P66" s="2" t="s">
        <v>408</v>
      </c>
      <c r="Q66" s="2" t="s">
        <v>409</v>
      </c>
      <c r="R66" s="2" t="s">
        <v>1123</v>
      </c>
      <c r="S66" s="2" t="s">
        <v>410</v>
      </c>
      <c r="T66" s="2" t="s">
        <v>411</v>
      </c>
      <c r="U66" s="2" t="s">
        <v>1124</v>
      </c>
      <c r="V66" s="2" t="s">
        <v>192</v>
      </c>
      <c r="W66" s="2" t="s">
        <v>902</v>
      </c>
      <c r="X66" s="2" t="s">
        <v>530</v>
      </c>
      <c r="Y66" s="2" t="s">
        <v>857</v>
      </c>
      <c r="Z66" s="2" t="s">
        <v>858</v>
      </c>
      <c r="AA66" s="2" t="s">
        <v>859</v>
      </c>
      <c r="AB66" s="2" t="s">
        <v>905</v>
      </c>
      <c r="AC66" s="2" t="s">
        <v>912</v>
      </c>
      <c r="AD66" s="2" t="s">
        <v>913</v>
      </c>
      <c r="AE66" s="2" t="s">
        <v>60</v>
      </c>
      <c r="AF66" s="2" t="s">
        <v>60</v>
      </c>
      <c r="AG66" s="2" t="s">
        <v>60</v>
      </c>
      <c r="AH66" s="2" t="s">
        <v>60</v>
      </c>
      <c r="AI66" s="2" t="s">
        <v>60</v>
      </c>
      <c r="AJ66" s="2"/>
      <c r="AK66" s="2" t="s">
        <v>63</v>
      </c>
      <c r="AL66" s="2" t="s">
        <v>1125</v>
      </c>
      <c r="AM66" s="2"/>
    </row>
    <row r="67" customFormat="false" ht="46.25" hidden="false" customHeight="false" outlineLevel="0" collapsed="false">
      <c r="A67" s="2" t="n">
        <v>66</v>
      </c>
      <c r="B67" s="3" t="s">
        <v>1126</v>
      </c>
      <c r="C67" s="2" t="s">
        <v>1127</v>
      </c>
      <c r="D67" s="2" t="s">
        <v>188</v>
      </c>
      <c r="E67" s="2" t="s">
        <v>1128</v>
      </c>
      <c r="F67" s="2" t="s">
        <v>1129</v>
      </c>
      <c r="G67" s="2" t="s">
        <v>1130</v>
      </c>
      <c r="H67" s="2" t="s">
        <v>72</v>
      </c>
      <c r="I67" s="2" t="s">
        <v>73</v>
      </c>
      <c r="J67" s="2" t="s">
        <v>793</v>
      </c>
      <c r="K67" s="2" t="s">
        <v>794</v>
      </c>
      <c r="L67" s="2" t="s">
        <v>372</v>
      </c>
      <c r="M67" s="2" t="s">
        <v>373</v>
      </c>
      <c r="N67" s="2" t="s">
        <v>795</v>
      </c>
      <c r="O67" s="2" t="s">
        <v>796</v>
      </c>
      <c r="P67" s="2" t="s">
        <v>1129</v>
      </c>
      <c r="Q67" s="2" t="s">
        <v>1130</v>
      </c>
      <c r="R67" s="2" t="s">
        <v>1131</v>
      </c>
      <c r="S67" s="2" t="s">
        <v>704</v>
      </c>
      <c r="T67" s="2" t="s">
        <v>705</v>
      </c>
      <c r="U67" s="2" t="s">
        <v>1132</v>
      </c>
      <c r="V67" s="2" t="s">
        <v>793</v>
      </c>
      <c r="W67" s="2" t="s">
        <v>802</v>
      </c>
      <c r="X67" s="2" t="s">
        <v>1133</v>
      </c>
      <c r="Y67" s="2" t="s">
        <v>372</v>
      </c>
      <c r="Z67" s="2" t="s">
        <v>378</v>
      </c>
      <c r="AA67" s="2" t="s">
        <v>1134</v>
      </c>
      <c r="AB67" s="2" t="s">
        <v>1135</v>
      </c>
      <c r="AC67" s="2" t="s">
        <v>1136</v>
      </c>
      <c r="AD67" s="2" t="s">
        <v>1137</v>
      </c>
      <c r="AE67" s="2" t="s">
        <v>60</v>
      </c>
      <c r="AF67" s="2" t="s">
        <v>61</v>
      </c>
      <c r="AG67" s="2" t="s">
        <v>60</v>
      </c>
      <c r="AH67" s="2" t="s">
        <v>60</v>
      </c>
      <c r="AI67" s="2" t="s">
        <v>62</v>
      </c>
      <c r="AJ67" s="2"/>
      <c r="AK67" s="2" t="s">
        <v>63</v>
      </c>
      <c r="AL67" s="2" t="s">
        <v>1138</v>
      </c>
      <c r="AM67" s="2" t="s">
        <v>1139</v>
      </c>
    </row>
    <row r="68" customFormat="false" ht="46.25" hidden="false" customHeight="false" outlineLevel="0" collapsed="false">
      <c r="A68" s="2" t="n">
        <v>67</v>
      </c>
      <c r="B68" s="3" t="s">
        <v>1140</v>
      </c>
      <c r="C68" s="2" t="s">
        <v>1141</v>
      </c>
      <c r="D68" s="2" t="s">
        <v>508</v>
      </c>
      <c r="E68" s="2" t="s">
        <v>1142</v>
      </c>
      <c r="F68" s="2" t="s">
        <v>142</v>
      </c>
      <c r="G68" s="2" t="s">
        <v>143</v>
      </c>
      <c r="H68" s="2" t="s">
        <v>120</v>
      </c>
      <c r="I68" s="2" t="s">
        <v>121</v>
      </c>
      <c r="J68" s="2" t="s">
        <v>512</v>
      </c>
      <c r="K68" s="2" t="s">
        <v>513</v>
      </c>
      <c r="L68" s="2" t="s">
        <v>514</v>
      </c>
      <c r="M68" s="2" t="s">
        <v>515</v>
      </c>
      <c r="N68" s="2" t="s">
        <v>58</v>
      </c>
      <c r="O68" s="2" t="s">
        <v>59</v>
      </c>
      <c r="P68" s="2" t="s">
        <v>142</v>
      </c>
      <c r="Q68" s="2" t="s">
        <v>143</v>
      </c>
      <c r="R68" s="2"/>
      <c r="S68" s="2" t="s">
        <v>120</v>
      </c>
      <c r="T68" s="2" t="s">
        <v>121</v>
      </c>
      <c r="U68" s="2"/>
      <c r="V68" s="2" t="s">
        <v>530</v>
      </c>
      <c r="W68" s="2" t="s">
        <v>1143</v>
      </c>
      <c r="X68" s="2" t="s">
        <v>1144</v>
      </c>
      <c r="Y68" s="2" t="s">
        <v>514</v>
      </c>
      <c r="Z68" s="2" t="s">
        <v>515</v>
      </c>
      <c r="AA68" s="2" t="s">
        <v>1145</v>
      </c>
      <c r="AB68" s="2" t="s">
        <v>532</v>
      </c>
      <c r="AC68" s="2" t="s">
        <v>1062</v>
      </c>
      <c r="AD68" s="2" t="s">
        <v>1146</v>
      </c>
      <c r="AE68" s="2" t="s">
        <v>60</v>
      </c>
      <c r="AF68" s="2" t="s">
        <v>60</v>
      </c>
      <c r="AG68" s="2" t="s">
        <v>61</v>
      </c>
      <c r="AH68" s="2" t="s">
        <v>60</v>
      </c>
      <c r="AI68" s="2" t="s">
        <v>62</v>
      </c>
      <c r="AJ68" s="2"/>
      <c r="AK68" s="2" t="s">
        <v>92</v>
      </c>
      <c r="AL68" s="2" t="s">
        <v>1147</v>
      </c>
      <c r="AM68" s="2" t="s">
        <v>1148</v>
      </c>
    </row>
    <row r="69" customFormat="false" ht="35.05" hidden="false" customHeight="false" outlineLevel="0" collapsed="false">
      <c r="A69" s="2" t="n">
        <v>68</v>
      </c>
      <c r="B69" s="3" t="s">
        <v>1149</v>
      </c>
      <c r="C69" s="2" t="s">
        <v>1150</v>
      </c>
      <c r="D69" s="2" t="s">
        <v>97</v>
      </c>
      <c r="E69" s="2" t="s">
        <v>1151</v>
      </c>
      <c r="F69" s="2" t="s">
        <v>1152</v>
      </c>
      <c r="G69" s="2" t="s">
        <v>1153</v>
      </c>
      <c r="H69" s="2" t="s">
        <v>72</v>
      </c>
      <c r="I69" s="2" t="s">
        <v>73</v>
      </c>
      <c r="J69" s="2" t="s">
        <v>714</v>
      </c>
      <c r="K69" s="2" t="s">
        <v>715</v>
      </c>
      <c r="L69" s="2" t="s">
        <v>1154</v>
      </c>
      <c r="M69" s="2" t="s">
        <v>1155</v>
      </c>
      <c r="N69" s="2" t="s">
        <v>58</v>
      </c>
      <c r="O69" s="2" t="s">
        <v>59</v>
      </c>
      <c r="P69" s="2" t="s">
        <v>712</v>
      </c>
      <c r="Q69" s="2" t="s">
        <v>713</v>
      </c>
      <c r="R69" s="2" t="s">
        <v>1156</v>
      </c>
      <c r="S69" s="2" t="s">
        <v>97</v>
      </c>
      <c r="T69" s="2" t="s">
        <v>600</v>
      </c>
      <c r="U69" s="2"/>
      <c r="V69" s="2" t="s">
        <v>714</v>
      </c>
      <c r="W69" s="2" t="s">
        <v>718</v>
      </c>
      <c r="X69" s="2" t="s">
        <v>1157</v>
      </c>
      <c r="Y69" s="2" t="s">
        <v>1154</v>
      </c>
      <c r="Z69" s="2" t="s">
        <v>1155</v>
      </c>
      <c r="AA69" s="2" t="s">
        <v>1158</v>
      </c>
      <c r="AB69" s="2" t="s">
        <v>58</v>
      </c>
      <c r="AC69" s="2" t="s">
        <v>59</v>
      </c>
      <c r="AD69" s="2"/>
      <c r="AE69" s="2" t="s">
        <v>61</v>
      </c>
      <c r="AF69" s="2" t="s">
        <v>61</v>
      </c>
      <c r="AG69" s="2" t="s">
        <v>60</v>
      </c>
      <c r="AH69" s="2" t="s">
        <v>60</v>
      </c>
      <c r="AI69" s="2" t="s">
        <v>60</v>
      </c>
      <c r="AJ69" s="2"/>
      <c r="AK69" s="2" t="s">
        <v>63</v>
      </c>
      <c r="AL69" s="2" t="s">
        <v>1159</v>
      </c>
      <c r="AM69" s="2" t="s">
        <v>1160</v>
      </c>
    </row>
    <row r="70" customFormat="false" ht="35.05" hidden="false" customHeight="false" outlineLevel="0" collapsed="false">
      <c r="A70" s="2" t="n">
        <v>69</v>
      </c>
      <c r="B70" s="3" t="s">
        <v>1161</v>
      </c>
      <c r="C70" s="2" t="s">
        <v>1162</v>
      </c>
      <c r="D70" s="2" t="s">
        <v>97</v>
      </c>
      <c r="E70" s="2" t="s">
        <v>1163</v>
      </c>
      <c r="F70" s="2" t="s">
        <v>900</v>
      </c>
      <c r="G70" s="2" t="s">
        <v>901</v>
      </c>
      <c r="H70" s="2" t="s">
        <v>216</v>
      </c>
      <c r="I70" s="2" t="s">
        <v>217</v>
      </c>
      <c r="J70" s="2" t="s">
        <v>1164</v>
      </c>
      <c r="K70" s="2" t="s">
        <v>1165</v>
      </c>
      <c r="L70" s="2" t="s">
        <v>1166</v>
      </c>
      <c r="M70" s="2" t="s">
        <v>1167</v>
      </c>
      <c r="N70" s="2" t="s">
        <v>58</v>
      </c>
      <c r="O70" s="2" t="s">
        <v>59</v>
      </c>
      <c r="P70" s="2" t="s">
        <v>900</v>
      </c>
      <c r="Q70" s="2" t="s">
        <v>901</v>
      </c>
      <c r="R70" s="2"/>
      <c r="S70" s="2" t="s">
        <v>216</v>
      </c>
      <c r="T70" s="2" t="s">
        <v>217</v>
      </c>
      <c r="U70" s="2"/>
      <c r="V70" s="2" t="s">
        <v>1164</v>
      </c>
      <c r="W70" s="2" t="s">
        <v>1168</v>
      </c>
      <c r="X70" s="2"/>
      <c r="Y70" s="2" t="s">
        <v>1166</v>
      </c>
      <c r="Z70" s="2" t="s">
        <v>1167</v>
      </c>
      <c r="AA70" s="2" t="s">
        <v>1169</v>
      </c>
      <c r="AB70" s="2" t="s">
        <v>58</v>
      </c>
      <c r="AC70" s="2" t="s">
        <v>59</v>
      </c>
      <c r="AD70" s="2" t="s">
        <v>83</v>
      </c>
      <c r="AE70" s="2" t="s">
        <v>60</v>
      </c>
      <c r="AF70" s="2" t="s">
        <v>60</v>
      </c>
      <c r="AG70" s="2" t="s">
        <v>60</v>
      </c>
      <c r="AH70" s="2" t="s">
        <v>60</v>
      </c>
      <c r="AI70" s="2" t="s">
        <v>60</v>
      </c>
      <c r="AJ70" s="2"/>
      <c r="AK70" s="2" t="s">
        <v>721</v>
      </c>
      <c r="AL70" s="2" t="s">
        <v>1170</v>
      </c>
      <c r="AM70" s="2"/>
    </row>
    <row r="71" customFormat="false" ht="68.65" hidden="false" customHeight="false" outlineLevel="0" collapsed="false">
      <c r="A71" s="2" t="n">
        <v>70</v>
      </c>
      <c r="B71" s="3" t="s">
        <v>1171</v>
      </c>
      <c r="C71" s="2" t="s">
        <v>1172</v>
      </c>
      <c r="D71" s="2" t="s">
        <v>97</v>
      </c>
      <c r="E71" s="2" t="s">
        <v>1173</v>
      </c>
      <c r="F71" s="2" t="s">
        <v>1174</v>
      </c>
      <c r="G71" s="2" t="s">
        <v>1175</v>
      </c>
      <c r="H71" s="2" t="s">
        <v>791</v>
      </c>
      <c r="I71" s="2" t="s">
        <v>792</v>
      </c>
      <c r="J71" s="2" t="s">
        <v>769</v>
      </c>
      <c r="K71" s="2" t="s">
        <v>884</v>
      </c>
      <c r="L71" s="2" t="s">
        <v>1176</v>
      </c>
      <c r="M71" s="2" t="s">
        <v>1177</v>
      </c>
      <c r="N71" s="2" t="s">
        <v>1178</v>
      </c>
      <c r="O71" s="2" t="s">
        <v>1179</v>
      </c>
      <c r="P71" s="2" t="s">
        <v>1174</v>
      </c>
      <c r="Q71" s="2" t="s">
        <v>1175</v>
      </c>
      <c r="R71" s="2" t="s">
        <v>1180</v>
      </c>
      <c r="S71" s="2" t="s">
        <v>1181</v>
      </c>
      <c r="T71" s="2" t="s">
        <v>1182</v>
      </c>
      <c r="U71" s="2" t="s">
        <v>1183</v>
      </c>
      <c r="V71" s="2" t="s">
        <v>769</v>
      </c>
      <c r="W71" s="2" t="s">
        <v>770</v>
      </c>
      <c r="X71" s="2" t="s">
        <v>1184</v>
      </c>
      <c r="Y71" s="2" t="s">
        <v>1185</v>
      </c>
      <c r="Z71" s="2" t="s">
        <v>1186</v>
      </c>
      <c r="AA71" s="2" t="s">
        <v>1187</v>
      </c>
      <c r="AB71" s="2" t="s">
        <v>1178</v>
      </c>
      <c r="AC71" s="2" t="s">
        <v>1188</v>
      </c>
      <c r="AD71" s="2" t="s">
        <v>1189</v>
      </c>
      <c r="AE71" s="2" t="s">
        <v>60</v>
      </c>
      <c r="AF71" s="2" t="s">
        <v>62</v>
      </c>
      <c r="AG71" s="2" t="s">
        <v>60</v>
      </c>
      <c r="AH71" s="2" t="s">
        <v>62</v>
      </c>
      <c r="AI71" s="2" t="s">
        <v>60</v>
      </c>
      <c r="AJ71" s="2"/>
      <c r="AK71" s="2" t="s">
        <v>63</v>
      </c>
      <c r="AL71" s="2" t="s">
        <v>1190</v>
      </c>
      <c r="AM71" s="2" t="s">
        <v>1191</v>
      </c>
    </row>
    <row r="72" customFormat="false" ht="46.25" hidden="false" customHeight="false" outlineLevel="0" collapsed="false">
      <c r="A72" s="2" t="n">
        <v>71</v>
      </c>
      <c r="B72" s="3" t="s">
        <v>1192</v>
      </c>
      <c r="C72" s="2" t="s">
        <v>1193</v>
      </c>
      <c r="D72" s="2" t="s">
        <v>41</v>
      </c>
      <c r="E72" s="2" t="s">
        <v>1194</v>
      </c>
      <c r="F72" s="2" t="s">
        <v>1195</v>
      </c>
      <c r="G72" s="2" t="s">
        <v>1196</v>
      </c>
      <c r="H72" s="2" t="s">
        <v>97</v>
      </c>
      <c r="I72" s="2" t="s">
        <v>600</v>
      </c>
      <c r="J72" s="2" t="s">
        <v>1197</v>
      </c>
      <c r="K72" s="2" t="s">
        <v>1198</v>
      </c>
      <c r="L72" s="2" t="s">
        <v>1199</v>
      </c>
      <c r="M72" s="2" t="s">
        <v>1200</v>
      </c>
      <c r="N72" s="2" t="s">
        <v>1033</v>
      </c>
      <c r="O72" s="2" t="s">
        <v>1201</v>
      </c>
      <c r="P72" s="2" t="s">
        <v>1195</v>
      </c>
      <c r="Q72" s="2" t="s">
        <v>1196</v>
      </c>
      <c r="R72" s="2" t="s">
        <v>1202</v>
      </c>
      <c r="S72" s="2" t="s">
        <v>97</v>
      </c>
      <c r="T72" s="2" t="s">
        <v>600</v>
      </c>
      <c r="U72" s="2" t="s">
        <v>607</v>
      </c>
      <c r="V72" s="2" t="s">
        <v>1203</v>
      </c>
      <c r="W72" s="2" t="s">
        <v>1204</v>
      </c>
      <c r="X72" s="2" t="s">
        <v>1205</v>
      </c>
      <c r="Y72" s="2" t="s">
        <v>86</v>
      </c>
      <c r="Z72" s="2" t="s">
        <v>1206</v>
      </c>
      <c r="AA72" s="2" t="s">
        <v>1207</v>
      </c>
      <c r="AB72" s="2" t="s">
        <v>1208</v>
      </c>
      <c r="AC72" s="2" t="s">
        <v>1209</v>
      </c>
      <c r="AD72" s="2" t="s">
        <v>1210</v>
      </c>
      <c r="AE72" s="2" t="s">
        <v>60</v>
      </c>
      <c r="AF72" s="2" t="s">
        <v>60</v>
      </c>
      <c r="AG72" s="2" t="s">
        <v>62</v>
      </c>
      <c r="AH72" s="2" t="s">
        <v>61</v>
      </c>
      <c r="AI72" s="2" t="s">
        <v>62</v>
      </c>
      <c r="AJ72" s="2"/>
      <c r="AK72" s="2" t="s">
        <v>92</v>
      </c>
      <c r="AL72" s="2" t="s">
        <v>1211</v>
      </c>
      <c r="AM72" s="2" t="s">
        <v>1212</v>
      </c>
    </row>
    <row r="73" customFormat="false" ht="35.05" hidden="false" customHeight="false" outlineLevel="0" collapsed="false">
      <c r="A73" s="2" t="n">
        <v>72</v>
      </c>
      <c r="B73" s="3" t="s">
        <v>1213</v>
      </c>
      <c r="C73" s="2" t="s">
        <v>1214</v>
      </c>
      <c r="D73" s="2" t="s">
        <v>155</v>
      </c>
      <c r="E73" s="2" t="s">
        <v>1215</v>
      </c>
      <c r="F73" s="2" t="s">
        <v>290</v>
      </c>
      <c r="G73" s="2" t="s">
        <v>291</v>
      </c>
      <c r="H73" s="2" t="s">
        <v>1216</v>
      </c>
      <c r="I73" s="2" t="s">
        <v>1217</v>
      </c>
      <c r="J73" s="2" t="s">
        <v>662</v>
      </c>
      <c r="K73" s="2" t="s">
        <v>663</v>
      </c>
      <c r="L73" s="2" t="s">
        <v>1218</v>
      </c>
      <c r="M73" s="2" t="s">
        <v>1219</v>
      </c>
      <c r="N73" s="2" t="s">
        <v>1220</v>
      </c>
      <c r="O73" s="2" t="s">
        <v>1221</v>
      </c>
      <c r="P73" s="2" t="s">
        <v>290</v>
      </c>
      <c r="Q73" s="2" t="s">
        <v>298</v>
      </c>
      <c r="R73" s="2" t="s">
        <v>1222</v>
      </c>
      <c r="S73" s="2" t="s">
        <v>1058</v>
      </c>
      <c r="T73" s="2" t="s">
        <v>1059</v>
      </c>
      <c r="U73" s="2" t="s">
        <v>1223</v>
      </c>
      <c r="V73" s="2" t="s">
        <v>656</v>
      </c>
      <c r="W73" s="2" t="s">
        <v>1224</v>
      </c>
      <c r="X73" s="2" t="s">
        <v>1225</v>
      </c>
      <c r="Y73" s="2" t="s">
        <v>1218</v>
      </c>
      <c r="Z73" s="2" t="s">
        <v>1219</v>
      </c>
      <c r="AA73" s="2" t="s">
        <v>1226</v>
      </c>
      <c r="AB73" s="2" t="s">
        <v>83</v>
      </c>
      <c r="AC73" s="2" t="s">
        <v>148</v>
      </c>
      <c r="AD73" s="2" t="s">
        <v>58</v>
      </c>
      <c r="AE73" s="2" t="s">
        <v>60</v>
      </c>
      <c r="AF73" s="2" t="s">
        <v>61</v>
      </c>
      <c r="AG73" s="2" t="s">
        <v>62</v>
      </c>
      <c r="AH73" s="2" t="s">
        <v>60</v>
      </c>
      <c r="AI73" s="2" t="s">
        <v>61</v>
      </c>
      <c r="AJ73" s="2"/>
      <c r="AK73" s="2" t="s">
        <v>92</v>
      </c>
      <c r="AL73" s="2" t="s">
        <v>1227</v>
      </c>
      <c r="AM73" s="2" t="s">
        <v>1228</v>
      </c>
    </row>
    <row r="74" customFormat="false" ht="57.45" hidden="false" customHeight="false" outlineLevel="0" collapsed="false">
      <c r="A74" s="2" t="n">
        <v>73</v>
      </c>
      <c r="B74" s="3" t="s">
        <v>1229</v>
      </c>
      <c r="C74" s="2" t="s">
        <v>1230</v>
      </c>
      <c r="D74" s="2" t="s">
        <v>97</v>
      </c>
      <c r="E74" s="2" t="s">
        <v>1231</v>
      </c>
      <c r="F74" s="2" t="s">
        <v>263</v>
      </c>
      <c r="G74" s="2" t="s">
        <v>1232</v>
      </c>
      <c r="H74" s="2" t="s">
        <v>1233</v>
      </c>
      <c r="I74" s="2" t="s">
        <v>1234</v>
      </c>
      <c r="J74" s="2" t="s">
        <v>769</v>
      </c>
      <c r="K74" s="2" t="s">
        <v>884</v>
      </c>
      <c r="L74" s="2" t="s">
        <v>935</v>
      </c>
      <c r="M74" s="2" t="s">
        <v>936</v>
      </c>
      <c r="N74" s="2" t="s">
        <v>1235</v>
      </c>
      <c r="O74" s="2" t="s">
        <v>1236</v>
      </c>
      <c r="P74" s="2" t="s">
        <v>1237</v>
      </c>
      <c r="Q74" s="2" t="s">
        <v>1238</v>
      </c>
      <c r="R74" s="2" t="s">
        <v>1239</v>
      </c>
      <c r="S74" s="2" t="s">
        <v>1233</v>
      </c>
      <c r="T74" s="2" t="s">
        <v>1234</v>
      </c>
      <c r="U74" s="2" t="s">
        <v>1240</v>
      </c>
      <c r="V74" s="2" t="s">
        <v>769</v>
      </c>
      <c r="W74" s="2" t="s">
        <v>770</v>
      </c>
      <c r="X74" s="2" t="s">
        <v>1241</v>
      </c>
      <c r="Y74" s="2" t="s">
        <v>935</v>
      </c>
      <c r="Z74" s="2" t="s">
        <v>941</v>
      </c>
      <c r="AA74" s="2" t="s">
        <v>942</v>
      </c>
      <c r="AB74" s="2" t="s">
        <v>58</v>
      </c>
      <c r="AC74" s="2" t="s">
        <v>59</v>
      </c>
      <c r="AD74" s="2" t="s">
        <v>1242</v>
      </c>
      <c r="AE74" s="2" t="s">
        <v>61</v>
      </c>
      <c r="AF74" s="2" t="s">
        <v>60</v>
      </c>
      <c r="AG74" s="2" t="s">
        <v>60</v>
      </c>
      <c r="AH74" s="2" t="s">
        <v>60</v>
      </c>
      <c r="AI74" s="2" t="s">
        <v>62</v>
      </c>
      <c r="AJ74" s="2"/>
      <c r="AK74" s="2" t="s">
        <v>92</v>
      </c>
      <c r="AL74" s="2" t="s">
        <v>1243</v>
      </c>
      <c r="AM74" s="2" t="s">
        <v>1244</v>
      </c>
    </row>
    <row r="75" customFormat="false" ht="46.25" hidden="false" customHeight="false" outlineLevel="0" collapsed="false">
      <c r="A75" s="2" t="n">
        <v>74</v>
      </c>
      <c r="B75" s="3" t="s">
        <v>1245</v>
      </c>
      <c r="C75" s="2" t="s">
        <v>1246</v>
      </c>
      <c r="D75" s="2" t="s">
        <v>214</v>
      </c>
      <c r="E75" s="2" t="s">
        <v>1247</v>
      </c>
      <c r="F75" s="2" t="s">
        <v>1248</v>
      </c>
      <c r="G75" s="2" t="s">
        <v>1249</v>
      </c>
      <c r="H75" s="2" t="s">
        <v>1216</v>
      </c>
      <c r="I75" s="2" t="s">
        <v>1217</v>
      </c>
      <c r="J75" s="2" t="s">
        <v>83</v>
      </c>
      <c r="K75" s="2" t="s">
        <v>218</v>
      </c>
      <c r="L75" s="2" t="s">
        <v>83</v>
      </c>
      <c r="M75" s="2" t="s">
        <v>238</v>
      </c>
      <c r="N75" s="2" t="s">
        <v>83</v>
      </c>
      <c r="O75" s="2" t="s">
        <v>238</v>
      </c>
      <c r="P75" s="2" t="s">
        <v>1248</v>
      </c>
      <c r="Q75" s="2" t="s">
        <v>1250</v>
      </c>
      <c r="R75" s="2" t="s">
        <v>1251</v>
      </c>
      <c r="S75" s="2" t="s">
        <v>1058</v>
      </c>
      <c r="T75" s="2" t="s">
        <v>1059</v>
      </c>
      <c r="U75" s="2" t="s">
        <v>1252</v>
      </c>
      <c r="V75" s="2" t="s">
        <v>47</v>
      </c>
      <c r="W75" s="2" t="s">
        <v>48</v>
      </c>
      <c r="X75" s="2" t="s">
        <v>1253</v>
      </c>
      <c r="Y75" s="2" t="s">
        <v>1254</v>
      </c>
      <c r="Z75" s="2" t="s">
        <v>1255</v>
      </c>
      <c r="AA75" s="2" t="s">
        <v>1256</v>
      </c>
      <c r="AB75" s="2" t="s">
        <v>58</v>
      </c>
      <c r="AC75" s="2" t="s">
        <v>59</v>
      </c>
      <c r="AD75" s="2"/>
      <c r="AE75" s="2" t="s">
        <v>60</v>
      </c>
      <c r="AF75" s="2" t="s">
        <v>61</v>
      </c>
      <c r="AG75" s="2" t="s">
        <v>227</v>
      </c>
      <c r="AH75" s="2" t="s">
        <v>227</v>
      </c>
      <c r="AI75" s="2" t="s">
        <v>90</v>
      </c>
      <c r="AJ75" s="2"/>
      <c r="AK75" s="2" t="s">
        <v>92</v>
      </c>
      <c r="AL75" s="2" t="s">
        <v>1257</v>
      </c>
      <c r="AM75" s="2" t="s">
        <v>1258</v>
      </c>
    </row>
    <row r="76" customFormat="false" ht="46.25" hidden="false" customHeight="false" outlineLevel="0" collapsed="false">
      <c r="A76" s="2" t="n">
        <v>75</v>
      </c>
      <c r="B76" s="3" t="s">
        <v>1259</v>
      </c>
      <c r="C76" s="2" t="s">
        <v>1260</v>
      </c>
      <c r="D76" s="2" t="s">
        <v>155</v>
      </c>
      <c r="E76" s="2" t="s">
        <v>1261</v>
      </c>
      <c r="F76" s="2" t="s">
        <v>510</v>
      </c>
      <c r="G76" s="2" t="s">
        <v>511</v>
      </c>
      <c r="H76" s="2" t="s">
        <v>192</v>
      </c>
      <c r="I76" s="2" t="s">
        <v>193</v>
      </c>
      <c r="J76" s="2" t="s">
        <v>693</v>
      </c>
      <c r="K76" s="2" t="s">
        <v>1262</v>
      </c>
      <c r="L76" s="2" t="s">
        <v>1263</v>
      </c>
      <c r="M76" s="2" t="s">
        <v>1264</v>
      </c>
      <c r="N76" s="2" t="s">
        <v>58</v>
      </c>
      <c r="O76" s="2" t="s">
        <v>59</v>
      </c>
      <c r="P76" s="2" t="s">
        <v>327</v>
      </c>
      <c r="Q76" s="2" t="s">
        <v>1265</v>
      </c>
      <c r="R76" s="2" t="s">
        <v>1266</v>
      </c>
      <c r="S76" s="2" t="s">
        <v>329</v>
      </c>
      <c r="T76" s="2" t="s">
        <v>330</v>
      </c>
      <c r="U76" s="2" t="s">
        <v>1267</v>
      </c>
      <c r="V76" s="2" t="s">
        <v>159</v>
      </c>
      <c r="W76" s="2" t="s">
        <v>160</v>
      </c>
      <c r="X76" s="2" t="s">
        <v>1268</v>
      </c>
      <c r="Y76" s="2" t="s">
        <v>1269</v>
      </c>
      <c r="Z76" s="2" t="s">
        <v>1270</v>
      </c>
      <c r="AA76" s="2" t="s">
        <v>1271</v>
      </c>
      <c r="AB76" s="2" t="s">
        <v>1272</v>
      </c>
      <c r="AC76" s="2" t="s">
        <v>1273</v>
      </c>
      <c r="AD76" s="2" t="s">
        <v>1274</v>
      </c>
      <c r="AE76" s="2" t="s">
        <v>62</v>
      </c>
      <c r="AF76" s="2" t="s">
        <v>62</v>
      </c>
      <c r="AG76" s="2" t="s">
        <v>227</v>
      </c>
      <c r="AH76" s="2" t="s">
        <v>61</v>
      </c>
      <c r="AI76" s="2" t="s">
        <v>62</v>
      </c>
      <c r="AJ76" s="2"/>
      <c r="AK76" s="2" t="s">
        <v>92</v>
      </c>
      <c r="AL76" s="2" t="s">
        <v>1275</v>
      </c>
      <c r="AM76" s="2" t="s">
        <v>1276</v>
      </c>
    </row>
    <row r="77" customFormat="false" ht="46.25" hidden="false" customHeight="false" outlineLevel="0" collapsed="false">
      <c r="A77" s="2" t="n">
        <v>76</v>
      </c>
      <c r="B77" s="3" t="s">
        <v>1277</v>
      </c>
      <c r="C77" s="2" t="s">
        <v>1278</v>
      </c>
      <c r="D77" s="2" t="s">
        <v>97</v>
      </c>
      <c r="E77" s="2" t="s">
        <v>1279</v>
      </c>
      <c r="F77" s="2" t="s">
        <v>702</v>
      </c>
      <c r="G77" s="2" t="s">
        <v>703</v>
      </c>
      <c r="H77" s="2" t="s">
        <v>385</v>
      </c>
      <c r="I77" s="2" t="s">
        <v>386</v>
      </c>
      <c r="J77" s="2" t="s">
        <v>1002</v>
      </c>
      <c r="K77" s="2" t="s">
        <v>1003</v>
      </c>
      <c r="L77" s="2" t="s">
        <v>1280</v>
      </c>
      <c r="M77" s="2" t="s">
        <v>1281</v>
      </c>
      <c r="N77" s="2" t="s">
        <v>149</v>
      </c>
      <c r="O77" s="2" t="s">
        <v>984</v>
      </c>
      <c r="P77" s="2" t="s">
        <v>702</v>
      </c>
      <c r="Q77" s="2" t="s">
        <v>703</v>
      </c>
      <c r="R77" s="2"/>
      <c r="S77" s="2" t="s">
        <v>385</v>
      </c>
      <c r="T77" s="2" t="s">
        <v>386</v>
      </c>
      <c r="U77" s="2"/>
      <c r="V77" s="2" t="s">
        <v>1002</v>
      </c>
      <c r="W77" s="2" t="s">
        <v>1003</v>
      </c>
      <c r="X77" s="2" t="s">
        <v>1282</v>
      </c>
      <c r="Y77" s="2" t="s">
        <v>149</v>
      </c>
      <c r="Z77" s="2" t="s">
        <v>984</v>
      </c>
      <c r="AA77" s="2" t="s">
        <v>1283</v>
      </c>
      <c r="AB77" s="2" t="s">
        <v>58</v>
      </c>
      <c r="AC77" s="2" t="s">
        <v>59</v>
      </c>
      <c r="AD77" s="2" t="s">
        <v>149</v>
      </c>
      <c r="AE77" s="2" t="s">
        <v>60</v>
      </c>
      <c r="AF77" s="2" t="s">
        <v>60</v>
      </c>
      <c r="AG77" s="2" t="s">
        <v>60</v>
      </c>
      <c r="AH77" s="2" t="s">
        <v>62</v>
      </c>
      <c r="AI77" s="2" t="s">
        <v>62</v>
      </c>
      <c r="AJ77" s="2"/>
      <c r="AK77" s="2" t="s">
        <v>63</v>
      </c>
      <c r="AL77" s="2" t="s">
        <v>1284</v>
      </c>
      <c r="AM77" s="2" t="s">
        <v>1285</v>
      </c>
    </row>
    <row r="78" customFormat="false" ht="68.65" hidden="false" customHeight="false" outlineLevel="0" collapsed="false">
      <c r="A78" s="2" t="n">
        <v>77</v>
      </c>
      <c r="B78" s="3" t="s">
        <v>1286</v>
      </c>
      <c r="C78" s="2" t="s">
        <v>1287</v>
      </c>
      <c r="D78" s="2" t="s">
        <v>383</v>
      </c>
      <c r="E78" s="2" t="s">
        <v>1288</v>
      </c>
      <c r="F78" s="2" t="s">
        <v>1289</v>
      </c>
      <c r="G78" s="2" t="s">
        <v>1290</v>
      </c>
      <c r="H78" s="2" t="s">
        <v>101</v>
      </c>
      <c r="I78" s="2" t="s">
        <v>102</v>
      </c>
      <c r="J78" s="2" t="s">
        <v>387</v>
      </c>
      <c r="K78" s="2" t="s">
        <v>388</v>
      </c>
      <c r="L78" s="2" t="s">
        <v>1291</v>
      </c>
      <c r="M78" s="2" t="s">
        <v>1292</v>
      </c>
      <c r="N78" s="2" t="s">
        <v>1293</v>
      </c>
      <c r="O78" s="2" t="s">
        <v>1294</v>
      </c>
      <c r="P78" s="2" t="s">
        <v>686</v>
      </c>
      <c r="Q78" s="2" t="s">
        <v>687</v>
      </c>
      <c r="R78" s="2" t="s">
        <v>1295</v>
      </c>
      <c r="S78" s="2" t="s">
        <v>105</v>
      </c>
      <c r="T78" s="2" t="s">
        <v>1296</v>
      </c>
      <c r="U78" s="2" t="s">
        <v>1297</v>
      </c>
      <c r="V78" s="2" t="s">
        <v>1298</v>
      </c>
      <c r="W78" s="2" t="s">
        <v>1299</v>
      </c>
      <c r="X78" s="2" t="s">
        <v>1300</v>
      </c>
      <c r="Y78" s="2" t="s">
        <v>844</v>
      </c>
      <c r="Z78" s="2" t="s">
        <v>1301</v>
      </c>
      <c r="AA78" s="2" t="s">
        <v>1302</v>
      </c>
      <c r="AB78" s="2" t="s">
        <v>1293</v>
      </c>
      <c r="AC78" s="2" t="s">
        <v>1294</v>
      </c>
      <c r="AD78" s="2" t="s">
        <v>1303</v>
      </c>
      <c r="AE78" s="2" t="s">
        <v>227</v>
      </c>
      <c r="AF78" s="2" t="s">
        <v>227</v>
      </c>
      <c r="AG78" s="2" t="s">
        <v>61</v>
      </c>
      <c r="AH78" s="2" t="s">
        <v>62</v>
      </c>
      <c r="AI78" s="2" t="s">
        <v>60</v>
      </c>
      <c r="AJ78" s="2"/>
      <c r="AK78" s="2" t="s">
        <v>92</v>
      </c>
      <c r="AL78" s="2" t="s">
        <v>1304</v>
      </c>
      <c r="AM78" s="2" t="s">
        <v>1305</v>
      </c>
    </row>
    <row r="79" customFormat="false" ht="23.85" hidden="false" customHeight="false" outlineLevel="0" collapsed="false">
      <c r="A79" s="2" t="n">
        <v>78</v>
      </c>
      <c r="B79" s="3" t="s">
        <v>1306</v>
      </c>
      <c r="C79" s="2" t="s">
        <v>1307</v>
      </c>
      <c r="D79" s="2" t="s">
        <v>41</v>
      </c>
      <c r="E79" s="2" t="s">
        <v>1308</v>
      </c>
      <c r="F79" s="2" t="s">
        <v>1309</v>
      </c>
      <c r="G79" s="2" t="s">
        <v>1310</v>
      </c>
      <c r="H79" s="2" t="s">
        <v>270</v>
      </c>
      <c r="I79" s="2" t="s">
        <v>271</v>
      </c>
      <c r="J79" s="2" t="s">
        <v>1311</v>
      </c>
      <c r="K79" s="2" t="s">
        <v>1312</v>
      </c>
      <c r="L79" s="2" t="s">
        <v>1313</v>
      </c>
      <c r="M79" s="2" t="s">
        <v>1314</v>
      </c>
      <c r="N79" s="2" t="s">
        <v>58</v>
      </c>
      <c r="O79" s="2" t="s">
        <v>59</v>
      </c>
      <c r="P79" s="2" t="s">
        <v>1309</v>
      </c>
      <c r="Q79" s="2" t="s">
        <v>1315</v>
      </c>
      <c r="R79" s="2" t="s">
        <v>1316</v>
      </c>
      <c r="S79" s="2" t="s">
        <v>277</v>
      </c>
      <c r="T79" s="2" t="s">
        <v>278</v>
      </c>
      <c r="U79" s="2" t="s">
        <v>279</v>
      </c>
      <c r="V79" s="2" t="s">
        <v>1311</v>
      </c>
      <c r="W79" s="2" t="s">
        <v>1317</v>
      </c>
      <c r="X79" s="2" t="s">
        <v>1318</v>
      </c>
      <c r="Y79" s="2" t="s">
        <v>1319</v>
      </c>
      <c r="Z79" s="2" t="s">
        <v>1320</v>
      </c>
      <c r="AA79" s="2" t="s">
        <v>1321</v>
      </c>
      <c r="AB79" s="2" t="s">
        <v>58</v>
      </c>
      <c r="AC79" s="2" t="s">
        <v>59</v>
      </c>
      <c r="AD79" s="2"/>
      <c r="AE79" s="2" t="s">
        <v>60</v>
      </c>
      <c r="AF79" s="2" t="s">
        <v>62</v>
      </c>
      <c r="AG79" s="2" t="s">
        <v>60</v>
      </c>
      <c r="AH79" s="2" t="s">
        <v>62</v>
      </c>
      <c r="AI79" s="2" t="s">
        <v>60</v>
      </c>
      <c r="AJ79" s="2"/>
      <c r="AK79" s="2" t="s">
        <v>63</v>
      </c>
      <c r="AL79" s="2" t="s">
        <v>1322</v>
      </c>
      <c r="AM79" s="2" t="s">
        <v>1323</v>
      </c>
    </row>
    <row r="80" customFormat="false" ht="46.25" hidden="false" customHeight="false" outlineLevel="0" collapsed="false">
      <c r="A80" s="2" t="n">
        <v>79</v>
      </c>
      <c r="B80" s="3" t="s">
        <v>1324</v>
      </c>
      <c r="C80" s="2" t="s">
        <v>1325</v>
      </c>
      <c r="D80" s="2" t="s">
        <v>97</v>
      </c>
      <c r="E80" s="2" t="s">
        <v>1326</v>
      </c>
      <c r="F80" s="2" t="s">
        <v>686</v>
      </c>
      <c r="G80" s="2" t="s">
        <v>687</v>
      </c>
      <c r="H80" s="2" t="s">
        <v>853</v>
      </c>
      <c r="I80" s="2" t="s">
        <v>854</v>
      </c>
      <c r="J80" s="2" t="s">
        <v>1327</v>
      </c>
      <c r="K80" s="2" t="s">
        <v>1328</v>
      </c>
      <c r="L80" s="2" t="s">
        <v>1329</v>
      </c>
      <c r="M80" s="2" t="s">
        <v>1330</v>
      </c>
      <c r="N80" s="2" t="s">
        <v>1331</v>
      </c>
      <c r="O80" s="2" t="s">
        <v>1332</v>
      </c>
      <c r="P80" s="2" t="s">
        <v>686</v>
      </c>
      <c r="Q80" s="2" t="s">
        <v>687</v>
      </c>
      <c r="R80" s="2" t="s">
        <v>692</v>
      </c>
      <c r="S80" s="2" t="s">
        <v>853</v>
      </c>
      <c r="T80" s="2" t="s">
        <v>854</v>
      </c>
      <c r="U80" s="2" t="s">
        <v>1333</v>
      </c>
      <c r="V80" s="2" t="s">
        <v>351</v>
      </c>
      <c r="W80" s="2" t="s">
        <v>356</v>
      </c>
      <c r="X80" s="2" t="s">
        <v>1334</v>
      </c>
      <c r="Y80" s="2" t="s">
        <v>1329</v>
      </c>
      <c r="Z80" s="2" t="s">
        <v>1330</v>
      </c>
      <c r="AA80" s="2"/>
      <c r="AB80" s="2" t="s">
        <v>1331</v>
      </c>
      <c r="AC80" s="2" t="s">
        <v>1335</v>
      </c>
      <c r="AD80" s="2" t="s">
        <v>58</v>
      </c>
      <c r="AE80" s="2" t="s">
        <v>60</v>
      </c>
      <c r="AF80" s="2" t="s">
        <v>60</v>
      </c>
      <c r="AG80" s="2" t="s">
        <v>62</v>
      </c>
      <c r="AH80" s="2" t="s">
        <v>60</v>
      </c>
      <c r="AI80" s="2" t="s">
        <v>60</v>
      </c>
      <c r="AJ80" s="2"/>
      <c r="AK80" s="2" t="s">
        <v>92</v>
      </c>
      <c r="AL80" s="2" t="s">
        <v>1336</v>
      </c>
      <c r="AM80" s="2" t="s">
        <v>1337</v>
      </c>
    </row>
    <row r="81" customFormat="false" ht="46.25" hidden="false" customHeight="false" outlineLevel="0" collapsed="false">
      <c r="A81" s="2" t="n">
        <v>80</v>
      </c>
      <c r="B81" s="3" t="s">
        <v>1338</v>
      </c>
      <c r="C81" s="2" t="s">
        <v>1014</v>
      </c>
      <c r="D81" s="2" t="s">
        <v>41</v>
      </c>
      <c r="E81" s="2" t="s">
        <v>1339</v>
      </c>
      <c r="F81" s="2" t="s">
        <v>1248</v>
      </c>
      <c r="G81" s="2" t="s">
        <v>1249</v>
      </c>
      <c r="H81" s="2" t="s">
        <v>1340</v>
      </c>
      <c r="I81" s="2" t="s">
        <v>1341</v>
      </c>
      <c r="J81" s="2" t="s">
        <v>47</v>
      </c>
      <c r="K81" s="2" t="s">
        <v>48</v>
      </c>
      <c r="L81" s="2" t="s">
        <v>1342</v>
      </c>
      <c r="M81" s="2" t="s">
        <v>1343</v>
      </c>
      <c r="N81" s="2" t="s">
        <v>1344</v>
      </c>
      <c r="O81" s="2" t="s">
        <v>1345</v>
      </c>
      <c r="P81" s="2" t="s">
        <v>1248</v>
      </c>
      <c r="Q81" s="2" t="s">
        <v>1250</v>
      </c>
      <c r="R81" s="2" t="s">
        <v>1346</v>
      </c>
      <c r="S81" s="2" t="s">
        <v>1347</v>
      </c>
      <c r="T81" s="2" t="s">
        <v>1348</v>
      </c>
      <c r="U81" s="2" t="s">
        <v>1349</v>
      </c>
      <c r="V81" s="2" t="s">
        <v>47</v>
      </c>
      <c r="W81" s="2" t="s">
        <v>48</v>
      </c>
      <c r="X81" s="2"/>
      <c r="Y81" s="2" t="s">
        <v>1342</v>
      </c>
      <c r="Z81" s="2" t="s">
        <v>1343</v>
      </c>
      <c r="AA81" s="2" t="s">
        <v>1350</v>
      </c>
      <c r="AB81" s="2" t="s">
        <v>1351</v>
      </c>
      <c r="AC81" s="2" t="s">
        <v>1352</v>
      </c>
      <c r="AD81" s="2" t="s">
        <v>1353</v>
      </c>
      <c r="AE81" s="2" t="s">
        <v>60</v>
      </c>
      <c r="AF81" s="2" t="s">
        <v>61</v>
      </c>
      <c r="AG81" s="2" t="s">
        <v>60</v>
      </c>
      <c r="AH81" s="2" t="s">
        <v>60</v>
      </c>
      <c r="AI81" s="2" t="s">
        <v>61</v>
      </c>
      <c r="AJ81" s="2"/>
      <c r="AK81" s="2" t="s">
        <v>63</v>
      </c>
      <c r="AL81" s="2" t="s">
        <v>1354</v>
      </c>
      <c r="AM81" s="2" t="s">
        <v>1355</v>
      </c>
    </row>
    <row r="82" customFormat="false" ht="35.05" hidden="false" customHeight="false" outlineLevel="0" collapsed="false">
      <c r="A82" s="2" t="n">
        <v>81</v>
      </c>
      <c r="B82" s="3" t="s">
        <v>1356</v>
      </c>
      <c r="C82" s="2" t="s">
        <v>1357</v>
      </c>
      <c r="D82" s="2" t="s">
        <v>97</v>
      </c>
      <c r="E82" s="2" t="s">
        <v>1358</v>
      </c>
      <c r="F82" s="2" t="s">
        <v>624</v>
      </c>
      <c r="G82" s="2" t="s">
        <v>625</v>
      </c>
      <c r="H82" s="2" t="s">
        <v>277</v>
      </c>
      <c r="I82" s="2" t="s">
        <v>278</v>
      </c>
      <c r="J82" s="2" t="s">
        <v>294</v>
      </c>
      <c r="K82" s="2" t="s">
        <v>295</v>
      </c>
      <c r="L82" s="2" t="s">
        <v>1359</v>
      </c>
      <c r="M82" s="2" t="s">
        <v>1360</v>
      </c>
      <c r="N82" s="2" t="s">
        <v>58</v>
      </c>
      <c r="O82" s="2" t="s">
        <v>59</v>
      </c>
      <c r="P82" s="2" t="s">
        <v>624</v>
      </c>
      <c r="Q82" s="2" t="s">
        <v>625</v>
      </c>
      <c r="R82" s="2"/>
      <c r="S82" s="2" t="s">
        <v>277</v>
      </c>
      <c r="T82" s="2" t="s">
        <v>278</v>
      </c>
      <c r="U82" s="2" t="s">
        <v>279</v>
      </c>
      <c r="V82" s="2" t="s">
        <v>435</v>
      </c>
      <c r="W82" s="2" t="s">
        <v>436</v>
      </c>
      <c r="X82" s="2" t="s">
        <v>1361</v>
      </c>
      <c r="Y82" s="2" t="s">
        <v>1359</v>
      </c>
      <c r="Z82" s="2" t="s">
        <v>1362</v>
      </c>
      <c r="AA82" s="2" t="s">
        <v>1363</v>
      </c>
      <c r="AB82" s="2" t="s">
        <v>58</v>
      </c>
      <c r="AC82" s="2" t="s">
        <v>59</v>
      </c>
      <c r="AD82" s="2" t="s">
        <v>83</v>
      </c>
      <c r="AE82" s="2" t="s">
        <v>60</v>
      </c>
      <c r="AF82" s="2" t="s">
        <v>60</v>
      </c>
      <c r="AG82" s="2" t="s">
        <v>62</v>
      </c>
      <c r="AH82" s="2" t="s">
        <v>60</v>
      </c>
      <c r="AI82" s="2" t="s">
        <v>60</v>
      </c>
      <c r="AJ82" s="2"/>
      <c r="AK82" s="2" t="s">
        <v>92</v>
      </c>
      <c r="AL82" s="2" t="s">
        <v>1364</v>
      </c>
      <c r="AM82" s="2" t="s">
        <v>1365</v>
      </c>
    </row>
    <row r="83" customFormat="false" ht="46.25" hidden="false" customHeight="false" outlineLevel="0" collapsed="false">
      <c r="A83" s="2" t="n">
        <v>82</v>
      </c>
      <c r="B83" s="3" t="s">
        <v>1366</v>
      </c>
      <c r="C83" s="2" t="s">
        <v>1367</v>
      </c>
      <c r="D83" s="2" t="s">
        <v>188</v>
      </c>
      <c r="E83" s="2" t="s">
        <v>1368</v>
      </c>
      <c r="F83" s="2" t="s">
        <v>686</v>
      </c>
      <c r="G83" s="2" t="s">
        <v>687</v>
      </c>
      <c r="H83" s="2" t="s">
        <v>844</v>
      </c>
      <c r="I83" s="2" t="s">
        <v>845</v>
      </c>
      <c r="J83" s="2" t="s">
        <v>538</v>
      </c>
      <c r="K83" s="2" t="s">
        <v>812</v>
      </c>
      <c r="L83" s="2" t="s">
        <v>391</v>
      </c>
      <c r="M83" s="2" t="s">
        <v>392</v>
      </c>
      <c r="N83" s="2" t="s">
        <v>1369</v>
      </c>
      <c r="O83" s="2" t="s">
        <v>1370</v>
      </c>
      <c r="P83" s="2" t="s">
        <v>686</v>
      </c>
      <c r="Q83" s="2" t="s">
        <v>687</v>
      </c>
      <c r="R83" s="2" t="s">
        <v>692</v>
      </c>
      <c r="S83" s="2" t="s">
        <v>551</v>
      </c>
      <c r="T83" s="2" t="s">
        <v>552</v>
      </c>
      <c r="U83" s="2" t="s">
        <v>1371</v>
      </c>
      <c r="V83" s="2" t="s">
        <v>640</v>
      </c>
      <c r="W83" s="2" t="s">
        <v>645</v>
      </c>
      <c r="X83" s="2" t="s">
        <v>1372</v>
      </c>
      <c r="Y83" s="2" t="s">
        <v>1373</v>
      </c>
      <c r="Z83" s="2" t="s">
        <v>1374</v>
      </c>
      <c r="AA83" s="2" t="s">
        <v>1375</v>
      </c>
      <c r="AB83" s="2" t="s">
        <v>1376</v>
      </c>
      <c r="AC83" s="2" t="s">
        <v>1377</v>
      </c>
      <c r="AD83" s="2" t="s">
        <v>1378</v>
      </c>
      <c r="AE83" s="2" t="s">
        <v>60</v>
      </c>
      <c r="AF83" s="2" t="s">
        <v>62</v>
      </c>
      <c r="AG83" s="2" t="s">
        <v>62</v>
      </c>
      <c r="AH83" s="2" t="s">
        <v>61</v>
      </c>
      <c r="AI83" s="2" t="s">
        <v>61</v>
      </c>
      <c r="AJ83" s="2"/>
      <c r="AK83" s="2" t="s">
        <v>63</v>
      </c>
      <c r="AL83" s="2" t="s">
        <v>1379</v>
      </c>
      <c r="AM83" s="2" t="s">
        <v>1380</v>
      </c>
    </row>
    <row r="84" customFormat="false" ht="35.05" hidden="false" customHeight="false" outlineLevel="0" collapsed="false">
      <c r="A84" s="2" t="n">
        <v>83</v>
      </c>
      <c r="B84" s="3" t="s">
        <v>1381</v>
      </c>
      <c r="C84" s="2" t="s">
        <v>1357</v>
      </c>
      <c r="D84" s="2" t="s">
        <v>383</v>
      </c>
      <c r="E84" s="2" t="s">
        <v>1382</v>
      </c>
      <c r="F84" s="2" t="s">
        <v>510</v>
      </c>
      <c r="G84" s="2" t="s">
        <v>511</v>
      </c>
      <c r="H84" s="2" t="s">
        <v>192</v>
      </c>
      <c r="I84" s="2" t="s">
        <v>193</v>
      </c>
      <c r="J84" s="2" t="s">
        <v>1383</v>
      </c>
      <c r="K84" s="2" t="s">
        <v>1384</v>
      </c>
      <c r="L84" s="2" t="s">
        <v>1094</v>
      </c>
      <c r="M84" s="2" t="s">
        <v>1095</v>
      </c>
      <c r="N84" s="2" t="s">
        <v>58</v>
      </c>
      <c r="O84" s="2" t="s">
        <v>59</v>
      </c>
      <c r="P84" s="2" t="s">
        <v>200</v>
      </c>
      <c r="Q84" s="2" t="s">
        <v>201</v>
      </c>
      <c r="R84" s="2" t="s">
        <v>1385</v>
      </c>
      <c r="S84" s="2" t="s">
        <v>203</v>
      </c>
      <c r="T84" s="2" t="s">
        <v>204</v>
      </c>
      <c r="U84" s="2"/>
      <c r="V84" s="2" t="s">
        <v>1386</v>
      </c>
      <c r="W84" s="2" t="s">
        <v>1387</v>
      </c>
      <c r="X84" s="2" t="s">
        <v>1388</v>
      </c>
      <c r="Y84" s="2" t="s">
        <v>1094</v>
      </c>
      <c r="Z84" s="2" t="s">
        <v>1389</v>
      </c>
      <c r="AA84" s="2" t="s">
        <v>1390</v>
      </c>
      <c r="AB84" s="2" t="s">
        <v>1391</v>
      </c>
      <c r="AC84" s="2" t="s">
        <v>1392</v>
      </c>
      <c r="AD84" s="2" t="s">
        <v>1393</v>
      </c>
      <c r="AE84" s="2" t="s">
        <v>90</v>
      </c>
      <c r="AF84" s="2" t="s">
        <v>90</v>
      </c>
      <c r="AG84" s="2" t="s">
        <v>62</v>
      </c>
      <c r="AH84" s="2" t="s">
        <v>60</v>
      </c>
      <c r="AI84" s="2" t="s">
        <v>62</v>
      </c>
      <c r="AJ84" s="2"/>
      <c r="AK84" s="2" t="s">
        <v>92</v>
      </c>
      <c r="AL84" s="2" t="s">
        <v>1394</v>
      </c>
      <c r="AM84" s="2" t="s">
        <v>1395</v>
      </c>
    </row>
    <row r="85" customFormat="false" ht="57.45" hidden="false" customHeight="false" outlineLevel="0" collapsed="false">
      <c r="A85" s="2" t="n">
        <v>84</v>
      </c>
      <c r="B85" s="3" t="s">
        <v>1396</v>
      </c>
      <c r="C85" s="2" t="s">
        <v>1397</v>
      </c>
      <c r="D85" s="2" t="s">
        <v>97</v>
      </c>
      <c r="E85" s="2" t="s">
        <v>1398</v>
      </c>
      <c r="F85" s="2" t="s">
        <v>333</v>
      </c>
      <c r="G85" s="2" t="s">
        <v>334</v>
      </c>
      <c r="H85" s="2" t="s">
        <v>1216</v>
      </c>
      <c r="I85" s="2" t="s">
        <v>1217</v>
      </c>
      <c r="J85" s="2" t="s">
        <v>769</v>
      </c>
      <c r="K85" s="2" t="s">
        <v>884</v>
      </c>
      <c r="L85" s="2" t="s">
        <v>556</v>
      </c>
      <c r="M85" s="2" t="s">
        <v>557</v>
      </c>
      <c r="N85" s="2" t="s">
        <v>83</v>
      </c>
      <c r="O85" s="2" t="s">
        <v>238</v>
      </c>
      <c r="P85" s="2" t="s">
        <v>327</v>
      </c>
      <c r="Q85" s="2" t="s">
        <v>1265</v>
      </c>
      <c r="R85" s="2" t="s">
        <v>1399</v>
      </c>
      <c r="S85" s="2" t="s">
        <v>1058</v>
      </c>
      <c r="T85" s="2" t="s">
        <v>1059</v>
      </c>
      <c r="U85" s="2" t="s">
        <v>1400</v>
      </c>
      <c r="V85" s="2" t="s">
        <v>769</v>
      </c>
      <c r="W85" s="2" t="s">
        <v>770</v>
      </c>
      <c r="X85" s="2" t="s">
        <v>1401</v>
      </c>
      <c r="Y85" s="2" t="s">
        <v>1331</v>
      </c>
      <c r="Z85" s="2" t="s">
        <v>1335</v>
      </c>
      <c r="AA85" s="2" t="s">
        <v>1402</v>
      </c>
      <c r="AB85" s="2" t="s">
        <v>1403</v>
      </c>
      <c r="AC85" s="2" t="s">
        <v>1404</v>
      </c>
      <c r="AD85" s="2" t="s">
        <v>1405</v>
      </c>
      <c r="AE85" s="2" t="s">
        <v>62</v>
      </c>
      <c r="AF85" s="2" t="s">
        <v>61</v>
      </c>
      <c r="AG85" s="2" t="s">
        <v>60</v>
      </c>
      <c r="AH85" s="2" t="s">
        <v>62</v>
      </c>
      <c r="AI85" s="2" t="s">
        <v>62</v>
      </c>
      <c r="AJ85" s="2"/>
      <c r="AK85" s="2" t="s">
        <v>92</v>
      </c>
      <c r="AL85" s="2" t="s">
        <v>1406</v>
      </c>
      <c r="AM85" s="2" t="s">
        <v>1407</v>
      </c>
    </row>
    <row r="86" customFormat="false" ht="23.85" hidden="false" customHeight="false" outlineLevel="0" collapsed="false">
      <c r="A86" s="2" t="n">
        <v>85</v>
      </c>
      <c r="B86" s="3" t="s">
        <v>1408</v>
      </c>
      <c r="C86" s="2" t="s">
        <v>1409</v>
      </c>
      <c r="D86" s="2" t="s">
        <v>188</v>
      </c>
      <c r="E86" s="2" t="s">
        <v>1410</v>
      </c>
      <c r="F86" s="2" t="s">
        <v>290</v>
      </c>
      <c r="G86" s="2" t="s">
        <v>291</v>
      </c>
      <c r="H86" s="2" t="s">
        <v>130</v>
      </c>
      <c r="I86" s="2" t="s">
        <v>131</v>
      </c>
      <c r="J86" s="2" t="s">
        <v>1411</v>
      </c>
      <c r="K86" s="2" t="s">
        <v>1412</v>
      </c>
      <c r="L86" s="2" t="s">
        <v>1413</v>
      </c>
      <c r="M86" s="2" t="s">
        <v>1414</v>
      </c>
      <c r="N86" s="2" t="s">
        <v>207</v>
      </c>
      <c r="O86" s="2" t="s">
        <v>1415</v>
      </c>
      <c r="P86" s="2" t="s">
        <v>290</v>
      </c>
      <c r="Q86" s="2" t="s">
        <v>298</v>
      </c>
      <c r="R86" s="2" t="s">
        <v>1416</v>
      </c>
      <c r="S86" s="2" t="s">
        <v>130</v>
      </c>
      <c r="T86" s="2" t="s">
        <v>131</v>
      </c>
      <c r="U86" s="2"/>
      <c r="V86" s="2" t="s">
        <v>1417</v>
      </c>
      <c r="W86" s="2" t="s">
        <v>1418</v>
      </c>
      <c r="X86" s="2" t="s">
        <v>1419</v>
      </c>
      <c r="Y86" s="2" t="s">
        <v>1413</v>
      </c>
      <c r="Z86" s="2" t="s">
        <v>1420</v>
      </c>
      <c r="AA86" s="2" t="s">
        <v>1421</v>
      </c>
      <c r="AB86" s="2" t="s">
        <v>207</v>
      </c>
      <c r="AC86" s="2" t="s">
        <v>208</v>
      </c>
      <c r="AD86" s="2" t="s">
        <v>1422</v>
      </c>
      <c r="AE86" s="2" t="s">
        <v>60</v>
      </c>
      <c r="AF86" s="2" t="s">
        <v>60</v>
      </c>
      <c r="AG86" s="2" t="s">
        <v>90</v>
      </c>
      <c r="AH86" s="2" t="s">
        <v>60</v>
      </c>
      <c r="AI86" s="2" t="s">
        <v>60</v>
      </c>
      <c r="AJ86" s="2"/>
      <c r="AK86" s="2" t="s">
        <v>92</v>
      </c>
      <c r="AL86" s="2" t="s">
        <v>1423</v>
      </c>
      <c r="AM86" s="2" t="s">
        <v>1424</v>
      </c>
    </row>
    <row r="87" customFormat="false" ht="35.05" hidden="false" customHeight="false" outlineLevel="0" collapsed="false">
      <c r="A87" s="2" t="n">
        <v>86</v>
      </c>
      <c r="B87" s="3" t="s">
        <v>1425</v>
      </c>
      <c r="C87" s="2" t="s">
        <v>1426</v>
      </c>
      <c r="D87" s="2" t="s">
        <v>383</v>
      </c>
      <c r="E87" s="2" t="s">
        <v>1427</v>
      </c>
      <c r="F87" s="2" t="s">
        <v>327</v>
      </c>
      <c r="G87" s="2" t="s">
        <v>328</v>
      </c>
      <c r="H87" s="2" t="s">
        <v>329</v>
      </c>
      <c r="I87" s="2" t="s">
        <v>330</v>
      </c>
      <c r="J87" s="2" t="s">
        <v>387</v>
      </c>
      <c r="K87" s="2" t="s">
        <v>388</v>
      </c>
      <c r="L87" s="2" t="s">
        <v>1428</v>
      </c>
      <c r="M87" s="2" t="s">
        <v>1429</v>
      </c>
      <c r="N87" s="2" t="s">
        <v>342</v>
      </c>
      <c r="O87" s="2" t="s">
        <v>343</v>
      </c>
      <c r="P87" s="2" t="s">
        <v>726</v>
      </c>
      <c r="Q87" s="2" t="s">
        <v>727</v>
      </c>
      <c r="R87" s="2" t="s">
        <v>1430</v>
      </c>
      <c r="S87" s="2" t="s">
        <v>329</v>
      </c>
      <c r="T87" s="2" t="s">
        <v>330</v>
      </c>
      <c r="U87" s="2" t="s">
        <v>1431</v>
      </c>
      <c r="V87" s="2" t="s">
        <v>1432</v>
      </c>
      <c r="W87" s="2" t="s">
        <v>1433</v>
      </c>
      <c r="X87" s="2" t="s">
        <v>1434</v>
      </c>
      <c r="Y87" s="2" t="s">
        <v>1428</v>
      </c>
      <c r="Z87" s="2" t="s">
        <v>1429</v>
      </c>
      <c r="AA87" s="2" t="s">
        <v>1435</v>
      </c>
      <c r="AB87" s="2" t="s">
        <v>342</v>
      </c>
      <c r="AC87" s="2" t="s">
        <v>343</v>
      </c>
      <c r="AD87" s="2" t="s">
        <v>1436</v>
      </c>
      <c r="AE87" s="2" t="s">
        <v>61</v>
      </c>
      <c r="AF87" s="2" t="s">
        <v>60</v>
      </c>
      <c r="AG87" s="2" t="s">
        <v>62</v>
      </c>
      <c r="AH87" s="2" t="s">
        <v>60</v>
      </c>
      <c r="AI87" s="2" t="s">
        <v>60</v>
      </c>
      <c r="AJ87" s="2"/>
      <c r="AK87" s="2" t="s">
        <v>92</v>
      </c>
      <c r="AL87" s="2" t="s">
        <v>1437</v>
      </c>
      <c r="AM87" s="2" t="s">
        <v>1438</v>
      </c>
    </row>
    <row r="88" customFormat="false" ht="68.65" hidden="false" customHeight="false" outlineLevel="0" collapsed="false">
      <c r="A88" s="2" t="n">
        <v>87</v>
      </c>
      <c r="B88" s="3" t="s">
        <v>1439</v>
      </c>
      <c r="C88" s="2" t="s">
        <v>1440</v>
      </c>
      <c r="D88" s="2" t="s">
        <v>383</v>
      </c>
      <c r="E88" s="2" t="s">
        <v>1441</v>
      </c>
      <c r="F88" s="2" t="s">
        <v>333</v>
      </c>
      <c r="G88" s="2" t="s">
        <v>334</v>
      </c>
      <c r="H88" s="2" t="s">
        <v>447</v>
      </c>
      <c r="I88" s="2" t="s">
        <v>448</v>
      </c>
      <c r="J88" s="2" t="s">
        <v>1442</v>
      </c>
      <c r="K88" s="2" t="s">
        <v>1443</v>
      </c>
      <c r="L88" s="2" t="s">
        <v>1272</v>
      </c>
      <c r="M88" s="2" t="s">
        <v>1444</v>
      </c>
      <c r="N88" s="2" t="s">
        <v>1445</v>
      </c>
      <c r="O88" s="2" t="s">
        <v>1446</v>
      </c>
      <c r="P88" s="2" t="s">
        <v>333</v>
      </c>
      <c r="Q88" s="2" t="s">
        <v>334</v>
      </c>
      <c r="R88" s="2" t="s">
        <v>1447</v>
      </c>
      <c r="S88" s="2" t="s">
        <v>447</v>
      </c>
      <c r="T88" s="2" t="s">
        <v>448</v>
      </c>
      <c r="U88" s="2" t="s">
        <v>1058</v>
      </c>
      <c r="V88" s="2" t="s">
        <v>1448</v>
      </c>
      <c r="W88" s="2" t="s">
        <v>1449</v>
      </c>
      <c r="X88" s="2" t="s">
        <v>1450</v>
      </c>
      <c r="Y88" s="2" t="s">
        <v>1451</v>
      </c>
      <c r="Z88" s="2" t="s">
        <v>1452</v>
      </c>
      <c r="AA88" s="2" t="s">
        <v>1453</v>
      </c>
      <c r="AB88" s="2" t="s">
        <v>1445</v>
      </c>
      <c r="AC88" s="2" t="s">
        <v>1446</v>
      </c>
      <c r="AD88" s="2" t="s">
        <v>1454</v>
      </c>
      <c r="AE88" s="2" t="s">
        <v>60</v>
      </c>
      <c r="AF88" s="2" t="s">
        <v>60</v>
      </c>
      <c r="AG88" s="2" t="s">
        <v>62</v>
      </c>
      <c r="AH88" s="2" t="s">
        <v>227</v>
      </c>
      <c r="AI88" s="2" t="s">
        <v>60</v>
      </c>
      <c r="AJ88" s="2"/>
      <c r="AK88" s="2" t="s">
        <v>92</v>
      </c>
      <c r="AL88" s="2" t="s">
        <v>1455</v>
      </c>
      <c r="AM88" s="2" t="s">
        <v>1456</v>
      </c>
    </row>
    <row r="89" customFormat="false" ht="35.05" hidden="false" customHeight="false" outlineLevel="0" collapsed="false">
      <c r="A89" s="2" t="n">
        <v>88</v>
      </c>
      <c r="B89" s="3" t="s">
        <v>1457</v>
      </c>
      <c r="C89" s="2" t="s">
        <v>1458</v>
      </c>
      <c r="D89" s="2" t="s">
        <v>41</v>
      </c>
      <c r="E89" s="2" t="s">
        <v>1459</v>
      </c>
      <c r="F89" s="2" t="s">
        <v>1460</v>
      </c>
      <c r="G89" s="2" t="s">
        <v>1461</v>
      </c>
      <c r="H89" s="2" t="s">
        <v>97</v>
      </c>
      <c r="I89" s="2" t="s">
        <v>600</v>
      </c>
      <c r="J89" s="2" t="s">
        <v>601</v>
      </c>
      <c r="K89" s="2" t="s">
        <v>602</v>
      </c>
      <c r="L89" s="2" t="s">
        <v>1462</v>
      </c>
      <c r="M89" s="2" t="s">
        <v>1463</v>
      </c>
      <c r="N89" s="2" t="s">
        <v>1464</v>
      </c>
      <c r="O89" s="2" t="s">
        <v>1465</v>
      </c>
      <c r="P89" s="2" t="s">
        <v>712</v>
      </c>
      <c r="Q89" s="2" t="s">
        <v>713</v>
      </c>
      <c r="R89" s="2" t="s">
        <v>1466</v>
      </c>
      <c r="S89" s="2" t="s">
        <v>97</v>
      </c>
      <c r="T89" s="2" t="s">
        <v>600</v>
      </c>
      <c r="U89" s="2"/>
      <c r="V89" s="2" t="s">
        <v>601</v>
      </c>
      <c r="W89" s="2" t="s">
        <v>608</v>
      </c>
      <c r="X89" s="2" t="s">
        <v>1467</v>
      </c>
      <c r="Y89" s="2" t="s">
        <v>1464</v>
      </c>
      <c r="Z89" s="2" t="s">
        <v>1468</v>
      </c>
      <c r="AA89" s="2" t="s">
        <v>1469</v>
      </c>
      <c r="AB89" s="2" t="s">
        <v>58</v>
      </c>
      <c r="AC89" s="2" t="s">
        <v>59</v>
      </c>
      <c r="AD89" s="2" t="s">
        <v>83</v>
      </c>
      <c r="AE89" s="2" t="s">
        <v>62</v>
      </c>
      <c r="AF89" s="2" t="s">
        <v>60</v>
      </c>
      <c r="AG89" s="2" t="s">
        <v>60</v>
      </c>
      <c r="AH89" s="2" t="s">
        <v>62</v>
      </c>
      <c r="AI89" s="2" t="s">
        <v>62</v>
      </c>
      <c r="AJ89" s="2"/>
      <c r="AK89" s="2" t="s">
        <v>92</v>
      </c>
      <c r="AL89" s="2" t="s">
        <v>1470</v>
      </c>
      <c r="AM89" s="2" t="s">
        <v>1471</v>
      </c>
    </row>
    <row r="90" customFormat="false" ht="68.65" hidden="false" customHeight="false" outlineLevel="0" collapsed="false">
      <c r="A90" s="2" t="n">
        <v>89</v>
      </c>
      <c r="B90" s="3" t="s">
        <v>1472</v>
      </c>
      <c r="C90" s="2" t="s">
        <v>1473</v>
      </c>
      <c r="D90" s="2" t="s">
        <v>383</v>
      </c>
      <c r="E90" s="2" t="s">
        <v>1474</v>
      </c>
      <c r="F90" s="2" t="s">
        <v>1475</v>
      </c>
      <c r="G90" s="2" t="s">
        <v>1476</v>
      </c>
      <c r="H90" s="2" t="s">
        <v>97</v>
      </c>
      <c r="I90" s="2" t="s">
        <v>600</v>
      </c>
      <c r="J90" s="2" t="s">
        <v>1477</v>
      </c>
      <c r="K90" s="2" t="s">
        <v>1478</v>
      </c>
      <c r="L90" s="2" t="s">
        <v>1479</v>
      </c>
      <c r="M90" s="2" t="s">
        <v>1480</v>
      </c>
      <c r="N90" s="2" t="s">
        <v>1481</v>
      </c>
      <c r="O90" s="2" t="s">
        <v>1482</v>
      </c>
      <c r="P90" s="2" t="s">
        <v>1475</v>
      </c>
      <c r="Q90" s="2" t="s">
        <v>1476</v>
      </c>
      <c r="R90" s="2" t="s">
        <v>1483</v>
      </c>
      <c r="S90" s="2" t="s">
        <v>97</v>
      </c>
      <c r="T90" s="2" t="s">
        <v>600</v>
      </c>
      <c r="U90" s="2" t="s">
        <v>85</v>
      </c>
      <c r="V90" s="2" t="s">
        <v>1477</v>
      </c>
      <c r="W90" s="2" t="s">
        <v>1478</v>
      </c>
      <c r="X90" s="2" t="s">
        <v>1484</v>
      </c>
      <c r="Y90" s="2" t="s">
        <v>1485</v>
      </c>
      <c r="Z90" s="2" t="s">
        <v>1486</v>
      </c>
      <c r="AA90" s="2" t="s">
        <v>1487</v>
      </c>
      <c r="AB90" s="2" t="s">
        <v>1488</v>
      </c>
      <c r="AC90" s="2" t="s">
        <v>1489</v>
      </c>
      <c r="AD90" s="2" t="s">
        <v>1490</v>
      </c>
      <c r="AE90" s="2" t="s">
        <v>60</v>
      </c>
      <c r="AF90" s="2" t="s">
        <v>60</v>
      </c>
      <c r="AG90" s="2" t="s">
        <v>60</v>
      </c>
      <c r="AH90" s="2" t="s">
        <v>90</v>
      </c>
      <c r="AI90" s="2" t="s">
        <v>61</v>
      </c>
      <c r="AJ90" s="2"/>
      <c r="AK90" s="2" t="s">
        <v>63</v>
      </c>
      <c r="AL90" s="2" t="s">
        <v>1491</v>
      </c>
      <c r="AM90" s="2" t="s">
        <v>1492</v>
      </c>
    </row>
    <row r="91" customFormat="false" ht="46.25" hidden="false" customHeight="false" outlineLevel="0" collapsed="false">
      <c r="A91" s="2" t="n">
        <v>90</v>
      </c>
      <c r="B91" s="3" t="s">
        <v>1493</v>
      </c>
      <c r="C91" s="2" t="s">
        <v>1494</v>
      </c>
      <c r="D91" s="2" t="s">
        <v>188</v>
      </c>
      <c r="E91" s="2" t="s">
        <v>1495</v>
      </c>
      <c r="F91" s="2" t="s">
        <v>549</v>
      </c>
      <c r="G91" s="2" t="s">
        <v>550</v>
      </c>
      <c r="H91" s="2" t="s">
        <v>203</v>
      </c>
      <c r="I91" s="2" t="s">
        <v>1496</v>
      </c>
      <c r="J91" s="2" t="s">
        <v>1411</v>
      </c>
      <c r="K91" s="2" t="s">
        <v>1412</v>
      </c>
      <c r="L91" s="2" t="s">
        <v>1272</v>
      </c>
      <c r="M91" s="2" t="s">
        <v>1444</v>
      </c>
      <c r="N91" s="2" t="s">
        <v>1497</v>
      </c>
      <c r="O91" s="2" t="s">
        <v>1498</v>
      </c>
      <c r="P91" s="2" t="s">
        <v>549</v>
      </c>
      <c r="Q91" s="2" t="s">
        <v>550</v>
      </c>
      <c r="R91" s="2" t="s">
        <v>1499</v>
      </c>
      <c r="S91" s="2" t="s">
        <v>203</v>
      </c>
      <c r="T91" s="2" t="s">
        <v>204</v>
      </c>
      <c r="U91" s="2" t="s">
        <v>1500</v>
      </c>
      <c r="V91" s="2" t="s">
        <v>453</v>
      </c>
      <c r="W91" s="2" t="s">
        <v>454</v>
      </c>
      <c r="X91" s="2" t="s">
        <v>1501</v>
      </c>
      <c r="Y91" s="2" t="s">
        <v>1272</v>
      </c>
      <c r="Z91" s="2" t="s">
        <v>1273</v>
      </c>
      <c r="AA91" s="2" t="s">
        <v>1502</v>
      </c>
      <c r="AB91" s="2" t="s">
        <v>83</v>
      </c>
      <c r="AC91" s="2" t="s">
        <v>148</v>
      </c>
      <c r="AD91" s="2" t="s">
        <v>1503</v>
      </c>
      <c r="AE91" s="2" t="s">
        <v>60</v>
      </c>
      <c r="AF91" s="2" t="s">
        <v>60</v>
      </c>
      <c r="AG91" s="2" t="s">
        <v>62</v>
      </c>
      <c r="AH91" s="2" t="s">
        <v>60</v>
      </c>
      <c r="AI91" s="2" t="s">
        <v>61</v>
      </c>
      <c r="AJ91" s="2"/>
      <c r="AK91" s="2" t="s">
        <v>92</v>
      </c>
      <c r="AL91" s="2" t="s">
        <v>1504</v>
      </c>
      <c r="AM91" s="2" t="s">
        <v>1505</v>
      </c>
    </row>
    <row r="92" customFormat="false" ht="35.05" hidden="false" customHeight="false" outlineLevel="0" collapsed="false">
      <c r="A92" s="2" t="n">
        <v>91</v>
      </c>
      <c r="B92" s="3" t="s">
        <v>1506</v>
      </c>
      <c r="C92" s="2" t="s">
        <v>1507</v>
      </c>
      <c r="D92" s="2" t="s">
        <v>383</v>
      </c>
      <c r="E92" s="2" t="s">
        <v>1508</v>
      </c>
      <c r="F92" s="2" t="s">
        <v>549</v>
      </c>
      <c r="G92" s="2" t="s">
        <v>550</v>
      </c>
      <c r="H92" s="2" t="s">
        <v>83</v>
      </c>
      <c r="I92" s="2" t="s">
        <v>728</v>
      </c>
      <c r="J92" s="2" t="s">
        <v>222</v>
      </c>
      <c r="K92" s="2" t="s">
        <v>1016</v>
      </c>
      <c r="L92" s="2" t="s">
        <v>219</v>
      </c>
      <c r="M92" s="2" t="s">
        <v>220</v>
      </c>
      <c r="N92" s="2" t="s">
        <v>58</v>
      </c>
      <c r="O92" s="2" t="s">
        <v>59</v>
      </c>
      <c r="P92" s="2" t="s">
        <v>549</v>
      </c>
      <c r="Q92" s="2" t="s">
        <v>550</v>
      </c>
      <c r="R92" s="2"/>
      <c r="S92" s="2" t="s">
        <v>83</v>
      </c>
      <c r="T92" s="2" t="s">
        <v>84</v>
      </c>
      <c r="U92" s="2"/>
      <c r="V92" s="2" t="s">
        <v>222</v>
      </c>
      <c r="W92" s="2" t="s">
        <v>223</v>
      </c>
      <c r="X92" s="2" t="s">
        <v>224</v>
      </c>
      <c r="Y92" s="2" t="s">
        <v>219</v>
      </c>
      <c r="Z92" s="2" t="s">
        <v>225</v>
      </c>
      <c r="AA92" s="2" t="s">
        <v>484</v>
      </c>
      <c r="AB92" s="2" t="s">
        <v>58</v>
      </c>
      <c r="AC92" s="2" t="s">
        <v>59</v>
      </c>
      <c r="AD92" s="2" t="s">
        <v>1329</v>
      </c>
      <c r="AE92" s="2" t="s">
        <v>60</v>
      </c>
      <c r="AF92" s="2" t="s">
        <v>90</v>
      </c>
      <c r="AG92" s="2" t="s">
        <v>60</v>
      </c>
      <c r="AH92" s="2" t="s">
        <v>60</v>
      </c>
      <c r="AI92" s="2" t="s">
        <v>60</v>
      </c>
      <c r="AJ92" s="2" t="s">
        <v>91</v>
      </c>
      <c r="AK92" s="2" t="s">
        <v>92</v>
      </c>
      <c r="AL92" s="2" t="s">
        <v>1509</v>
      </c>
      <c r="AM92" s="2"/>
    </row>
    <row r="93" customFormat="false" ht="68.65" hidden="false" customHeight="false" outlineLevel="0" collapsed="false">
      <c r="A93" s="2" t="n">
        <v>92</v>
      </c>
      <c r="B93" s="3" t="s">
        <v>1510</v>
      </c>
      <c r="C93" s="2" t="s">
        <v>425</v>
      </c>
      <c r="D93" s="2" t="s">
        <v>68</v>
      </c>
      <c r="E93" s="2" t="s">
        <v>1511</v>
      </c>
      <c r="F93" s="2" t="s">
        <v>1512</v>
      </c>
      <c r="G93" s="2" t="s">
        <v>1513</v>
      </c>
      <c r="H93" s="2" t="s">
        <v>1514</v>
      </c>
      <c r="I93" s="2" t="s">
        <v>1515</v>
      </c>
      <c r="J93" s="2" t="s">
        <v>985</v>
      </c>
      <c r="K93" s="2" t="s">
        <v>1516</v>
      </c>
      <c r="L93" s="2" t="s">
        <v>496</v>
      </c>
      <c r="M93" s="2" t="s">
        <v>497</v>
      </c>
      <c r="N93" s="2" t="s">
        <v>58</v>
      </c>
      <c r="O93" s="2" t="s">
        <v>59</v>
      </c>
      <c r="P93" s="2" t="s">
        <v>1512</v>
      </c>
      <c r="Q93" s="2" t="s">
        <v>1513</v>
      </c>
      <c r="R93" s="2" t="s">
        <v>1517</v>
      </c>
      <c r="S93" s="2" t="s">
        <v>1514</v>
      </c>
      <c r="T93" s="2" t="s">
        <v>1515</v>
      </c>
      <c r="U93" s="2" t="s">
        <v>1518</v>
      </c>
      <c r="V93" s="2" t="s">
        <v>985</v>
      </c>
      <c r="W93" s="2" t="s">
        <v>1519</v>
      </c>
      <c r="X93" s="2" t="s">
        <v>1520</v>
      </c>
      <c r="Y93" s="2" t="s">
        <v>496</v>
      </c>
      <c r="Z93" s="2" t="s">
        <v>497</v>
      </c>
      <c r="AA93" s="2" t="s">
        <v>1521</v>
      </c>
      <c r="AB93" s="2" t="s">
        <v>58</v>
      </c>
      <c r="AC93" s="2" t="s">
        <v>59</v>
      </c>
      <c r="AD93" s="2"/>
      <c r="AE93" s="2" t="s">
        <v>60</v>
      </c>
      <c r="AF93" s="2" t="s">
        <v>60</v>
      </c>
      <c r="AG93" s="2" t="s">
        <v>60</v>
      </c>
      <c r="AH93" s="2" t="s">
        <v>60</v>
      </c>
      <c r="AI93" s="2" t="s">
        <v>60</v>
      </c>
      <c r="AJ93" s="2"/>
      <c r="AK93" s="2" t="s">
        <v>92</v>
      </c>
      <c r="AL93" s="2" t="s">
        <v>1522</v>
      </c>
      <c r="AM93" s="2"/>
    </row>
    <row r="94" customFormat="false" ht="35.05" hidden="false" customHeight="false" outlineLevel="0" collapsed="false">
      <c r="A94" s="2" t="n">
        <v>93</v>
      </c>
      <c r="B94" s="3" t="s">
        <v>1523</v>
      </c>
      <c r="C94" s="2" t="s">
        <v>1524</v>
      </c>
      <c r="D94" s="2" t="s">
        <v>188</v>
      </c>
      <c r="E94" s="2" t="s">
        <v>1525</v>
      </c>
      <c r="F94" s="2" t="s">
        <v>1526</v>
      </c>
      <c r="G94" s="2" t="s">
        <v>1527</v>
      </c>
      <c r="H94" s="2" t="s">
        <v>130</v>
      </c>
      <c r="I94" s="2" t="s">
        <v>131</v>
      </c>
      <c r="J94" s="2" t="s">
        <v>194</v>
      </c>
      <c r="K94" s="2" t="s">
        <v>195</v>
      </c>
      <c r="L94" s="2" t="s">
        <v>1528</v>
      </c>
      <c r="M94" s="2" t="s">
        <v>1529</v>
      </c>
      <c r="N94" s="2" t="s">
        <v>1530</v>
      </c>
      <c r="O94" s="2" t="s">
        <v>1531</v>
      </c>
      <c r="P94" s="2" t="s">
        <v>142</v>
      </c>
      <c r="Q94" s="2" t="s">
        <v>143</v>
      </c>
      <c r="R94" s="2"/>
      <c r="S94" s="2" t="s">
        <v>130</v>
      </c>
      <c r="T94" s="2" t="s">
        <v>131</v>
      </c>
      <c r="U94" s="2"/>
      <c r="V94" s="2" t="s">
        <v>194</v>
      </c>
      <c r="W94" s="2" t="s">
        <v>195</v>
      </c>
      <c r="X94" s="2" t="s">
        <v>1532</v>
      </c>
      <c r="Y94" s="2" t="s">
        <v>1528</v>
      </c>
      <c r="Z94" s="2" t="s">
        <v>1529</v>
      </c>
      <c r="AA94" s="2" t="s">
        <v>927</v>
      </c>
      <c r="AB94" s="2" t="s">
        <v>1530</v>
      </c>
      <c r="AC94" s="2" t="s">
        <v>1531</v>
      </c>
      <c r="AD94" s="2" t="s">
        <v>83</v>
      </c>
      <c r="AE94" s="2" t="s">
        <v>136</v>
      </c>
      <c r="AF94" s="2" t="s">
        <v>60</v>
      </c>
      <c r="AG94" s="2" t="s">
        <v>60</v>
      </c>
      <c r="AH94" s="2" t="s">
        <v>60</v>
      </c>
      <c r="AI94" s="2" t="s">
        <v>60</v>
      </c>
      <c r="AJ94" s="2"/>
      <c r="AK94" s="2" t="s">
        <v>63</v>
      </c>
      <c r="AL94" s="2" t="s">
        <v>1533</v>
      </c>
      <c r="AM94" s="2" t="s">
        <v>1534</v>
      </c>
    </row>
    <row r="95" customFormat="false" ht="35.05" hidden="false" customHeight="false" outlineLevel="0" collapsed="false">
      <c r="A95" s="2" t="n">
        <v>94</v>
      </c>
      <c r="B95" s="3" t="s">
        <v>1535</v>
      </c>
      <c r="C95" s="2" t="s">
        <v>1536</v>
      </c>
      <c r="D95" s="2" t="s">
        <v>97</v>
      </c>
      <c r="E95" s="2" t="s">
        <v>1537</v>
      </c>
      <c r="F95" s="2" t="s">
        <v>313</v>
      </c>
      <c r="G95" s="2" t="s">
        <v>314</v>
      </c>
      <c r="H95" s="2" t="s">
        <v>432</v>
      </c>
      <c r="I95" s="2" t="s">
        <v>433</v>
      </c>
      <c r="J95" s="2" t="s">
        <v>294</v>
      </c>
      <c r="K95" s="2" t="s">
        <v>295</v>
      </c>
      <c r="L95" s="2" t="s">
        <v>1208</v>
      </c>
      <c r="M95" s="2" t="s">
        <v>1209</v>
      </c>
      <c r="N95" s="2" t="s">
        <v>826</v>
      </c>
      <c r="O95" s="2" t="s">
        <v>827</v>
      </c>
      <c r="P95" s="2" t="s">
        <v>313</v>
      </c>
      <c r="Q95" s="2" t="s">
        <v>314</v>
      </c>
      <c r="R95" s="2" t="s">
        <v>1538</v>
      </c>
      <c r="S95" s="2" t="s">
        <v>432</v>
      </c>
      <c r="T95" s="2" t="s">
        <v>433</v>
      </c>
      <c r="U95" s="2" t="s">
        <v>1539</v>
      </c>
      <c r="V95" s="2" t="s">
        <v>294</v>
      </c>
      <c r="W95" s="2" t="s">
        <v>628</v>
      </c>
      <c r="X95" s="2"/>
      <c r="Y95" s="2" t="s">
        <v>1208</v>
      </c>
      <c r="Z95" s="2" t="s">
        <v>1209</v>
      </c>
      <c r="AA95" s="2" t="s">
        <v>1540</v>
      </c>
      <c r="AB95" s="2" t="s">
        <v>826</v>
      </c>
      <c r="AC95" s="2" t="s">
        <v>835</v>
      </c>
      <c r="AD95" s="2" t="s">
        <v>58</v>
      </c>
      <c r="AE95" s="2" t="s">
        <v>60</v>
      </c>
      <c r="AF95" s="2" t="s">
        <v>60</v>
      </c>
      <c r="AG95" s="2" t="s">
        <v>60</v>
      </c>
      <c r="AH95" s="2" t="s">
        <v>60</v>
      </c>
      <c r="AI95" s="2" t="s">
        <v>60</v>
      </c>
      <c r="AJ95" s="2"/>
      <c r="AK95" s="2" t="s">
        <v>63</v>
      </c>
      <c r="AL95" s="2" t="s">
        <v>1541</v>
      </c>
      <c r="AM95" s="2"/>
    </row>
    <row r="96" customFormat="false" ht="57.45" hidden="false" customHeight="false" outlineLevel="0" collapsed="false">
      <c r="A96" s="2" t="n">
        <v>95</v>
      </c>
      <c r="B96" s="3" t="s">
        <v>1542</v>
      </c>
      <c r="C96" s="2" t="s">
        <v>307</v>
      </c>
      <c r="D96" s="2" t="s">
        <v>155</v>
      </c>
      <c r="E96" s="2" t="s">
        <v>1543</v>
      </c>
      <c r="F96" s="2" t="s">
        <v>1544</v>
      </c>
      <c r="G96" s="2" t="s">
        <v>1545</v>
      </c>
      <c r="H96" s="2" t="s">
        <v>1216</v>
      </c>
      <c r="I96" s="2" t="s">
        <v>1217</v>
      </c>
      <c r="J96" s="2" t="s">
        <v>622</v>
      </c>
      <c r="K96" s="2" t="s">
        <v>1546</v>
      </c>
      <c r="L96" s="2" t="s">
        <v>1547</v>
      </c>
      <c r="M96" s="2" t="s">
        <v>1548</v>
      </c>
      <c r="N96" s="2" t="s">
        <v>203</v>
      </c>
      <c r="O96" s="2" t="s">
        <v>781</v>
      </c>
      <c r="P96" s="2" t="s">
        <v>1544</v>
      </c>
      <c r="Q96" s="2" t="s">
        <v>1549</v>
      </c>
      <c r="R96" s="2" t="s">
        <v>1550</v>
      </c>
      <c r="S96" s="2" t="s">
        <v>1058</v>
      </c>
      <c r="T96" s="2" t="s">
        <v>1059</v>
      </c>
      <c r="U96" s="2" t="s">
        <v>1223</v>
      </c>
      <c r="V96" s="2" t="s">
        <v>656</v>
      </c>
      <c r="W96" s="2" t="s">
        <v>1224</v>
      </c>
      <c r="X96" s="2" t="s">
        <v>1551</v>
      </c>
      <c r="Y96" s="2" t="s">
        <v>1547</v>
      </c>
      <c r="Z96" s="2" t="s">
        <v>1552</v>
      </c>
      <c r="AA96" s="2" t="s">
        <v>1553</v>
      </c>
      <c r="AB96" s="2" t="s">
        <v>203</v>
      </c>
      <c r="AC96" s="2" t="s">
        <v>1554</v>
      </c>
      <c r="AD96" s="2" t="s">
        <v>1555</v>
      </c>
      <c r="AE96" s="2" t="s">
        <v>60</v>
      </c>
      <c r="AF96" s="2" t="s">
        <v>61</v>
      </c>
      <c r="AG96" s="2" t="s">
        <v>227</v>
      </c>
      <c r="AH96" s="2" t="s">
        <v>60</v>
      </c>
      <c r="AI96" s="2" t="s">
        <v>60</v>
      </c>
      <c r="AJ96" s="2"/>
      <c r="AK96" s="2" t="s">
        <v>92</v>
      </c>
      <c r="AL96" s="2" t="s">
        <v>1556</v>
      </c>
      <c r="AM96" s="2" t="s">
        <v>1557</v>
      </c>
    </row>
    <row r="97" customFormat="false" ht="46.25" hidden="false" customHeight="false" outlineLevel="0" collapsed="false">
      <c r="A97" s="2" t="n">
        <v>96</v>
      </c>
      <c r="B97" s="3" t="s">
        <v>1558</v>
      </c>
      <c r="C97" s="2" t="s">
        <v>1559</v>
      </c>
      <c r="D97" s="2" t="s">
        <v>188</v>
      </c>
      <c r="E97" s="2" t="s">
        <v>1560</v>
      </c>
      <c r="F97" s="2" t="s">
        <v>142</v>
      </c>
      <c r="G97" s="2" t="s">
        <v>143</v>
      </c>
      <c r="H97" s="2" t="s">
        <v>1090</v>
      </c>
      <c r="I97" s="2" t="s">
        <v>1091</v>
      </c>
      <c r="J97" s="2" t="s">
        <v>1561</v>
      </c>
      <c r="K97" s="2" t="s">
        <v>1562</v>
      </c>
      <c r="L97" s="2" t="s">
        <v>1563</v>
      </c>
      <c r="M97" s="2" t="s">
        <v>1564</v>
      </c>
      <c r="N97" s="2" t="s">
        <v>1565</v>
      </c>
      <c r="O97" s="2" t="s">
        <v>1566</v>
      </c>
      <c r="P97" s="2" t="s">
        <v>142</v>
      </c>
      <c r="Q97" s="2" t="s">
        <v>143</v>
      </c>
      <c r="R97" s="2"/>
      <c r="S97" s="2" t="s">
        <v>1090</v>
      </c>
      <c r="T97" s="2" t="s">
        <v>1091</v>
      </c>
      <c r="U97" s="2" t="s">
        <v>1567</v>
      </c>
      <c r="V97" s="2" t="s">
        <v>1561</v>
      </c>
      <c r="W97" s="2" t="s">
        <v>1568</v>
      </c>
      <c r="X97" s="2" t="s">
        <v>1569</v>
      </c>
      <c r="Y97" s="2" t="s">
        <v>1570</v>
      </c>
      <c r="Z97" s="2" t="s">
        <v>1571</v>
      </c>
      <c r="AA97" s="2" t="s">
        <v>1572</v>
      </c>
      <c r="AB97" s="2" t="s">
        <v>1573</v>
      </c>
      <c r="AC97" s="2" t="s">
        <v>1574</v>
      </c>
      <c r="AD97" s="2" t="s">
        <v>1575</v>
      </c>
      <c r="AE97" s="2" t="s">
        <v>60</v>
      </c>
      <c r="AF97" s="2" t="s">
        <v>60</v>
      </c>
      <c r="AG97" s="2" t="s">
        <v>60</v>
      </c>
      <c r="AH97" s="2" t="s">
        <v>61</v>
      </c>
      <c r="AI97" s="2" t="s">
        <v>62</v>
      </c>
      <c r="AJ97" s="2"/>
      <c r="AK97" s="2" t="s">
        <v>63</v>
      </c>
      <c r="AL97" s="2" t="s">
        <v>1576</v>
      </c>
      <c r="AM97" s="2" t="s">
        <v>1577</v>
      </c>
    </row>
    <row r="98" customFormat="false" ht="35.05" hidden="false" customHeight="false" outlineLevel="0" collapsed="false">
      <c r="A98" s="2" t="n">
        <v>97</v>
      </c>
      <c r="B98" s="3" t="s">
        <v>1578</v>
      </c>
      <c r="C98" s="2" t="s">
        <v>347</v>
      </c>
      <c r="D98" s="2" t="s">
        <v>188</v>
      </c>
      <c r="E98" s="2" t="s">
        <v>1579</v>
      </c>
      <c r="F98" s="2" t="s">
        <v>726</v>
      </c>
      <c r="G98" s="2" t="s">
        <v>727</v>
      </c>
      <c r="H98" s="2" t="s">
        <v>571</v>
      </c>
      <c r="I98" s="2" t="s">
        <v>572</v>
      </c>
      <c r="J98" s="2" t="s">
        <v>952</v>
      </c>
      <c r="K98" s="2" t="s">
        <v>953</v>
      </c>
      <c r="L98" s="2" t="s">
        <v>83</v>
      </c>
      <c r="M98" s="2" t="s">
        <v>238</v>
      </c>
      <c r="N98" s="2" t="s">
        <v>996</v>
      </c>
      <c r="O98" s="2" t="s">
        <v>997</v>
      </c>
      <c r="P98" s="2" t="s">
        <v>726</v>
      </c>
      <c r="Q98" s="2" t="s">
        <v>727</v>
      </c>
      <c r="R98" s="2"/>
      <c r="S98" s="2" t="s">
        <v>571</v>
      </c>
      <c r="T98" s="2" t="s">
        <v>576</v>
      </c>
      <c r="U98" s="2" t="s">
        <v>1580</v>
      </c>
      <c r="V98" s="2" t="s">
        <v>1581</v>
      </c>
      <c r="W98" s="2" t="s">
        <v>1582</v>
      </c>
      <c r="X98" s="2" t="s">
        <v>1583</v>
      </c>
      <c r="Y98" s="2" t="s">
        <v>83</v>
      </c>
      <c r="Z98" s="2" t="s">
        <v>148</v>
      </c>
      <c r="AA98" s="2" t="s">
        <v>1584</v>
      </c>
      <c r="AB98" s="2" t="s">
        <v>58</v>
      </c>
      <c r="AC98" s="2" t="s">
        <v>59</v>
      </c>
      <c r="AD98" s="2"/>
      <c r="AE98" s="2" t="s">
        <v>60</v>
      </c>
      <c r="AF98" s="2" t="s">
        <v>60</v>
      </c>
      <c r="AG98" s="2" t="s">
        <v>90</v>
      </c>
      <c r="AH98" s="2" t="s">
        <v>90</v>
      </c>
      <c r="AI98" s="2" t="s">
        <v>61</v>
      </c>
      <c r="AJ98" s="2" t="s">
        <v>150</v>
      </c>
      <c r="AK98" s="2" t="s">
        <v>92</v>
      </c>
      <c r="AL98" s="2" t="s">
        <v>1585</v>
      </c>
      <c r="AM98" s="2" t="s">
        <v>1586</v>
      </c>
    </row>
    <row r="99" customFormat="false" ht="35.05" hidden="false" customHeight="false" outlineLevel="0" collapsed="false">
      <c r="A99" s="2" t="n">
        <v>98</v>
      </c>
      <c r="B99" s="3" t="s">
        <v>1587</v>
      </c>
      <c r="C99" s="2" t="s">
        <v>1162</v>
      </c>
      <c r="D99" s="2" t="s">
        <v>188</v>
      </c>
      <c r="E99" s="2" t="s">
        <v>1588</v>
      </c>
      <c r="F99" s="2" t="s">
        <v>333</v>
      </c>
      <c r="G99" s="2" t="s">
        <v>334</v>
      </c>
      <c r="H99" s="2" t="s">
        <v>754</v>
      </c>
      <c r="I99" s="2" t="s">
        <v>755</v>
      </c>
      <c r="J99" s="2" t="s">
        <v>538</v>
      </c>
      <c r="K99" s="2" t="s">
        <v>812</v>
      </c>
      <c r="L99" s="2" t="s">
        <v>1589</v>
      </c>
      <c r="M99" s="2" t="s">
        <v>1590</v>
      </c>
      <c r="N99" s="2" t="s">
        <v>642</v>
      </c>
      <c r="O99" s="2" t="s">
        <v>643</v>
      </c>
      <c r="P99" s="2" t="s">
        <v>333</v>
      </c>
      <c r="Q99" s="2" t="s">
        <v>334</v>
      </c>
      <c r="R99" s="2" t="s">
        <v>1591</v>
      </c>
      <c r="S99" s="2" t="s">
        <v>754</v>
      </c>
      <c r="T99" s="2" t="s">
        <v>755</v>
      </c>
      <c r="U99" s="2" t="s">
        <v>1592</v>
      </c>
      <c r="V99" s="2" t="s">
        <v>538</v>
      </c>
      <c r="W99" s="2" t="s">
        <v>539</v>
      </c>
      <c r="X99" s="2" t="s">
        <v>1593</v>
      </c>
      <c r="Y99" s="2" t="s">
        <v>1589</v>
      </c>
      <c r="Z99" s="2" t="s">
        <v>1590</v>
      </c>
      <c r="AA99" s="2" t="s">
        <v>1594</v>
      </c>
      <c r="AB99" s="2" t="s">
        <v>1595</v>
      </c>
      <c r="AC99" s="2" t="s">
        <v>1596</v>
      </c>
      <c r="AD99" s="2" t="s">
        <v>1597</v>
      </c>
      <c r="AE99" s="2" t="s">
        <v>60</v>
      </c>
      <c r="AF99" s="2" t="s">
        <v>60</v>
      </c>
      <c r="AG99" s="2" t="s">
        <v>60</v>
      </c>
      <c r="AH99" s="2" t="s">
        <v>60</v>
      </c>
      <c r="AI99" s="2" t="s">
        <v>227</v>
      </c>
      <c r="AJ99" s="2"/>
      <c r="AK99" s="2" t="s">
        <v>63</v>
      </c>
      <c r="AL99" s="2" t="s">
        <v>1598</v>
      </c>
      <c r="AM99" s="2" t="s">
        <v>1599</v>
      </c>
    </row>
    <row r="100" customFormat="false" ht="57.45" hidden="false" customHeight="false" outlineLevel="0" collapsed="false">
      <c r="A100" s="2" t="n">
        <v>99</v>
      </c>
      <c r="B100" s="3" t="s">
        <v>1600</v>
      </c>
      <c r="C100" s="2" t="s">
        <v>1601</v>
      </c>
      <c r="D100" s="2" t="s">
        <v>188</v>
      </c>
      <c r="E100" s="2" t="s">
        <v>1602</v>
      </c>
      <c r="F100" s="2" t="s">
        <v>1603</v>
      </c>
      <c r="G100" s="2" t="s">
        <v>1604</v>
      </c>
      <c r="H100" s="2" t="s">
        <v>72</v>
      </c>
      <c r="I100" s="2" t="s">
        <v>73</v>
      </c>
      <c r="J100" s="2" t="s">
        <v>952</v>
      </c>
      <c r="K100" s="2" t="s">
        <v>953</v>
      </c>
      <c r="L100" s="2" t="s">
        <v>1595</v>
      </c>
      <c r="M100" s="2" t="s">
        <v>1596</v>
      </c>
      <c r="N100" s="2" t="s">
        <v>1313</v>
      </c>
      <c r="O100" s="2" t="s">
        <v>1314</v>
      </c>
      <c r="P100" s="2" t="s">
        <v>1603</v>
      </c>
      <c r="Q100" s="2" t="s">
        <v>1604</v>
      </c>
      <c r="R100" s="2" t="s">
        <v>1605</v>
      </c>
      <c r="S100" s="2" t="s">
        <v>72</v>
      </c>
      <c r="T100" s="2" t="s">
        <v>73</v>
      </c>
      <c r="U100" s="2" t="s">
        <v>1606</v>
      </c>
      <c r="V100" s="2" t="s">
        <v>952</v>
      </c>
      <c r="W100" s="2" t="s">
        <v>953</v>
      </c>
      <c r="X100" s="2" t="s">
        <v>1607</v>
      </c>
      <c r="Y100" s="2" t="s">
        <v>1595</v>
      </c>
      <c r="Z100" s="2" t="s">
        <v>1596</v>
      </c>
      <c r="AA100" s="2" t="s">
        <v>1608</v>
      </c>
      <c r="AB100" s="2" t="s">
        <v>1609</v>
      </c>
      <c r="AC100" s="2" t="s">
        <v>1610</v>
      </c>
      <c r="AD100" s="2" t="s">
        <v>1611</v>
      </c>
      <c r="AE100" s="2" t="s">
        <v>60</v>
      </c>
      <c r="AF100" s="2" t="s">
        <v>60</v>
      </c>
      <c r="AG100" s="2" t="s">
        <v>60</v>
      </c>
      <c r="AH100" s="2" t="s">
        <v>60</v>
      </c>
      <c r="AI100" s="2" t="s">
        <v>61</v>
      </c>
      <c r="AJ100" s="2"/>
      <c r="AK100" s="2" t="s">
        <v>92</v>
      </c>
      <c r="AL100" s="2" t="s">
        <v>1612</v>
      </c>
      <c r="AM100" s="2" t="s">
        <v>1613</v>
      </c>
    </row>
    <row r="101" customFormat="false" ht="35.05" hidden="false" customHeight="false" outlineLevel="0" collapsed="false">
      <c r="A101" s="2" t="n">
        <v>100</v>
      </c>
      <c r="B101" s="3" t="s">
        <v>1614</v>
      </c>
      <c r="C101" s="2" t="s">
        <v>1615</v>
      </c>
      <c r="D101" s="2" t="s">
        <v>188</v>
      </c>
      <c r="E101" s="2" t="s">
        <v>1616</v>
      </c>
      <c r="F101" s="2" t="s">
        <v>822</v>
      </c>
      <c r="G101" s="2" t="s">
        <v>823</v>
      </c>
      <c r="H101" s="2" t="s">
        <v>853</v>
      </c>
      <c r="I101" s="2" t="s">
        <v>854</v>
      </c>
      <c r="J101" s="2" t="s">
        <v>370</v>
      </c>
      <c r="K101" s="2" t="s">
        <v>371</v>
      </c>
      <c r="L101" s="2" t="s">
        <v>372</v>
      </c>
      <c r="M101" s="2" t="s">
        <v>373</v>
      </c>
      <c r="N101" s="2" t="s">
        <v>642</v>
      </c>
      <c r="O101" s="2" t="s">
        <v>643</v>
      </c>
      <c r="P101" s="2" t="s">
        <v>686</v>
      </c>
      <c r="Q101" s="2" t="s">
        <v>687</v>
      </c>
      <c r="R101" s="2" t="s">
        <v>692</v>
      </c>
      <c r="S101" s="2" t="s">
        <v>853</v>
      </c>
      <c r="T101" s="2" t="s">
        <v>854</v>
      </c>
      <c r="U101" s="2" t="s">
        <v>1617</v>
      </c>
      <c r="V101" s="2" t="s">
        <v>370</v>
      </c>
      <c r="W101" s="2" t="s">
        <v>376</v>
      </c>
      <c r="X101" s="2" t="s">
        <v>1618</v>
      </c>
      <c r="Y101" s="2" t="s">
        <v>372</v>
      </c>
      <c r="Z101" s="2" t="s">
        <v>378</v>
      </c>
      <c r="AA101" s="2" t="s">
        <v>379</v>
      </c>
      <c r="AB101" s="2" t="s">
        <v>196</v>
      </c>
      <c r="AC101" s="2" t="s">
        <v>197</v>
      </c>
      <c r="AD101" s="2" t="s">
        <v>1619</v>
      </c>
      <c r="AE101" s="2" t="s">
        <v>61</v>
      </c>
      <c r="AF101" s="2" t="s">
        <v>60</v>
      </c>
      <c r="AG101" s="2" t="s">
        <v>60</v>
      </c>
      <c r="AH101" s="2" t="s">
        <v>60</v>
      </c>
      <c r="AI101" s="2" t="s">
        <v>62</v>
      </c>
      <c r="AJ101" s="2"/>
      <c r="AK101" s="2" t="s">
        <v>63</v>
      </c>
      <c r="AL101" s="2" t="s">
        <v>1620</v>
      </c>
      <c r="AM101" s="2" t="s">
        <v>1621</v>
      </c>
    </row>
  </sheetData>
  <autoFilter ref="A1:AM101"/>
  <conditionalFormatting sqref="AE2:AE101">
    <cfRule type="expression" priority="2" aboveAverage="0" equalAverage="0" bottom="0" percent="0" rank="0" text="" dxfId="6">
      <formula>LEFT(AE2,5)="Exact"</formula>
    </cfRule>
    <cfRule type="expression" priority="3" aboveAverage="0" equalAverage="0" bottom="0" percent="0" rank="0" text="" dxfId="6">
      <formula>LEFT(AE2,9)="Explained"</formula>
    </cfRule>
    <cfRule type="expression" priority="4" aboveAverage="0" equalAverage="0" bottom="0" percent="0" rank="0" text="" dxfId="7">
      <formula>LEFT(AE2,9)="Potential"</formula>
    </cfRule>
    <cfRule type="expression" priority="5" aboveAverage="0" equalAverage="0" bottom="0" percent="0" rank="0" text="" dxfId="8">
      <formula>LEFT(AE2,12)="Insufficient"</formula>
    </cfRule>
  </conditionalFormatting>
  <conditionalFormatting sqref="AF2:AF101">
    <cfRule type="expression" priority="6" aboveAverage="0" equalAverage="0" bottom="0" percent="0" rank="0" text="" dxfId="6">
      <formula>LEFT(AF2,5)="Exact"</formula>
    </cfRule>
    <cfRule type="expression" priority="7" aboveAverage="0" equalAverage="0" bottom="0" percent="0" rank="0" text="" dxfId="6">
      <formula>LEFT(AF2,9)="Explained"</formula>
    </cfRule>
    <cfRule type="expression" priority="8" aboveAverage="0" equalAverage="0" bottom="0" percent="0" rank="0" text="" dxfId="7">
      <formula>LEFT(AF2,9)="Potential"</formula>
    </cfRule>
    <cfRule type="expression" priority="9" aboveAverage="0" equalAverage="0" bottom="0" percent="0" rank="0" text="" dxfId="8">
      <formula>LEFT(AF2,12)="Insufficient"</formula>
    </cfRule>
  </conditionalFormatting>
  <conditionalFormatting sqref="AG2:AG101">
    <cfRule type="expression" priority="10" aboveAverage="0" equalAverage="0" bottom="0" percent="0" rank="0" text="" dxfId="6">
      <formula>LEFT(AG2,5)="Exact"</formula>
    </cfRule>
    <cfRule type="expression" priority="11" aboveAverage="0" equalAverage="0" bottom="0" percent="0" rank="0" text="" dxfId="6">
      <formula>LEFT(AG2,9)="Explained"</formula>
    </cfRule>
    <cfRule type="expression" priority="12" aboveAverage="0" equalAverage="0" bottom="0" percent="0" rank="0" text="" dxfId="7">
      <formula>LEFT(AG2,9)="Potential"</formula>
    </cfRule>
    <cfRule type="expression" priority="13" aboveAverage="0" equalAverage="0" bottom="0" percent="0" rank="0" text="" dxfId="8">
      <formula>LEFT(AG2,12)="Insufficient"</formula>
    </cfRule>
  </conditionalFormatting>
  <conditionalFormatting sqref="AH2:AH101">
    <cfRule type="expression" priority="14" aboveAverage="0" equalAverage="0" bottom="0" percent="0" rank="0" text="" dxfId="6">
      <formula>LEFT(AH2,5)="Exact"</formula>
    </cfRule>
    <cfRule type="expression" priority="15" aboveAverage="0" equalAverage="0" bottom="0" percent="0" rank="0" text="" dxfId="6">
      <formula>LEFT(AH2,9)="Explained"</formula>
    </cfRule>
    <cfRule type="expression" priority="16" aboveAverage="0" equalAverage="0" bottom="0" percent="0" rank="0" text="" dxfId="7">
      <formula>LEFT(AH2,9)="Potential"</formula>
    </cfRule>
    <cfRule type="expression" priority="17" aboveAverage="0" equalAverage="0" bottom="0" percent="0" rank="0" text="" dxfId="8">
      <formula>LEFT(AH2,12)="Insufficient"</formula>
    </cfRule>
  </conditionalFormatting>
  <conditionalFormatting sqref="AI2:AI101">
    <cfRule type="expression" priority="18" aboveAverage="0" equalAverage="0" bottom="0" percent="0" rank="0" text="" dxfId="6">
      <formula>LEFT(AI2,5)="Exact"</formula>
    </cfRule>
    <cfRule type="expression" priority="19" aboveAverage="0" equalAverage="0" bottom="0" percent="0" rank="0" text="" dxfId="6">
      <formula>LEFT(AI2,9)="Explained"</formula>
    </cfRule>
    <cfRule type="expression" priority="20" aboveAverage="0" equalAverage="0" bottom="0" percent="0" rank="0" text="" dxfId="7">
      <formula>LEFT(AI2,9)="Potential"</formula>
    </cfRule>
    <cfRule type="expression" priority="21" aboveAverage="0" equalAverage="0" bottom="0" percent="0" rank="0" text="" dxfId="8">
      <formula>LEFT(AI2,12)="Insufficient"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13" min="2" style="0" width="22"/>
  </cols>
  <sheetData>
    <row r="1" customFormat="false" ht="15" hidden="false" customHeight="false" outlineLevel="0" collapsed="false">
      <c r="A1" s="4" t="s">
        <v>1622</v>
      </c>
    </row>
    <row r="3" customFormat="false" ht="48" hidden="false" customHeight="true" outlineLevel="0" collapsed="false">
      <c r="A3" s="1" t="s">
        <v>1623</v>
      </c>
      <c r="B3" s="1" t="s">
        <v>1624</v>
      </c>
      <c r="C3" s="1" t="s">
        <v>1625</v>
      </c>
      <c r="D3" s="1" t="s">
        <v>1626</v>
      </c>
      <c r="E3" s="1" t="s">
        <v>1627</v>
      </c>
      <c r="F3" s="1" t="s">
        <v>1628</v>
      </c>
      <c r="G3" s="1" t="s">
        <v>1629</v>
      </c>
      <c r="H3" s="1" t="s">
        <v>61</v>
      </c>
      <c r="I3" s="1" t="s">
        <v>62</v>
      </c>
      <c r="J3" s="1" t="s">
        <v>227</v>
      </c>
      <c r="K3" s="1" t="s">
        <v>136</v>
      </c>
      <c r="L3" s="1" t="s">
        <v>1630</v>
      </c>
      <c r="M3" s="1" t="s">
        <v>1631</v>
      </c>
    </row>
    <row r="4" customFormat="false" ht="15" hidden="false" customHeight="false" outlineLevel="0" collapsed="false">
      <c r="A4" s="0" t="s">
        <v>1632</v>
      </c>
      <c r="B4" s="0" t="n">
        <f aca="false">COUNTA('Sample review'!AE$2:AE$101)</f>
        <v>100</v>
      </c>
      <c r="C4" s="0" t="n">
        <f aca="false">SUMPRODUCT(--ISNUMBER(SEARCH(",N,",","&amp;'Sample review'!$AJ$2:$AJ$101&amp;",")))</f>
        <v>3</v>
      </c>
      <c r="D4" s="0" t="n">
        <f aca="false">B4-C4</f>
        <v>97</v>
      </c>
      <c r="E4" s="0" t="n">
        <f aca="false">SUMPRODUCT(('Sample review'!AE$2:AE$101="Exact agreement")*(1-ISNUMBER(SEARCH(",N,",","&amp;'Sample review'!$AJ$2:$AJ$101&amp;","))))</f>
        <v>69</v>
      </c>
      <c r="F4" s="5" t="n">
        <f aca="false">IF(D4=0,"",E4/D4)</f>
        <v>0.711340206185567</v>
      </c>
      <c r="G4" s="6" t="n">
        <f aca="false">COUNTIF('Sample review'!AE$2:AE$101,"Exact agreement")</f>
        <v>69</v>
      </c>
      <c r="H4" s="6" t="n">
        <f aca="false">COUNTIF('Sample review'!AE$2:AE$101,"Explained: recorded supported")</f>
        <v>10</v>
      </c>
      <c r="I4" s="6" t="n">
        <f aca="false">COUNTIF('Sample review'!AE$2:AE$101,"Explained: rule interpretation")</f>
        <v>12</v>
      </c>
      <c r="J4" s="6" t="n">
        <f aca="false">COUNTIF('Sample review'!AE$2:AE$101,"Potential: less specific")</f>
        <v>2</v>
      </c>
      <c r="K4" s="6" t="n">
        <f aca="false">COUNTIF('Sample review'!AE$2:AE$101,"Potential: conflict")</f>
        <v>1</v>
      </c>
      <c r="L4" s="6" t="n">
        <f aca="false">COUNTIF('Sample review'!AE$2:AE$101,"Insufficient information")</f>
        <v>6</v>
      </c>
      <c r="M4" s="0" t="str">
        <f aca="false">IF(SUM(G4:L4)=B4,"OK","CHECK")</f>
        <v>OK</v>
      </c>
    </row>
    <row r="5" customFormat="false" ht="15" hidden="false" customHeight="false" outlineLevel="0" collapsed="false">
      <c r="A5" s="0" t="s">
        <v>1633</v>
      </c>
      <c r="B5" s="0" t="n">
        <f aca="false">COUNTA('Sample review'!AF$2:AF$101)</f>
        <v>100</v>
      </c>
      <c r="C5" s="0" t="n">
        <f aca="false">SUMPRODUCT(--ISNUMBER(SEARCH(",P,",","&amp;'Sample review'!$AJ$2:$AJ$101&amp;",")))</f>
        <v>5</v>
      </c>
      <c r="D5" s="0" t="n">
        <f aca="false">B5-C5</f>
        <v>95</v>
      </c>
      <c r="E5" s="0" t="n">
        <f aca="false">SUMPRODUCT(('Sample review'!AF$2:AF$101="Exact agreement")*(1-ISNUMBER(SEARCH(",P,",","&amp;'Sample review'!$AJ$2:$AJ$101&amp;","))))</f>
        <v>60</v>
      </c>
      <c r="F5" s="5" t="n">
        <f aca="false">IF(D5=0,"",E5/D5)</f>
        <v>0.631578947368421</v>
      </c>
      <c r="G5" s="6" t="n">
        <f aca="false">COUNTIF('Sample review'!AF$2:AF$101,"Exact agreement")</f>
        <v>60</v>
      </c>
      <c r="H5" s="6" t="n">
        <f aca="false">COUNTIF('Sample review'!AF$2:AF$101,"Explained: recorded supported")</f>
        <v>12</v>
      </c>
      <c r="I5" s="6" t="n">
        <f aca="false">COUNTIF('Sample review'!AF$2:AF$101,"Explained: rule interpretation")</f>
        <v>17</v>
      </c>
      <c r="J5" s="6" t="n">
        <f aca="false">COUNTIF('Sample review'!AF$2:AF$101,"Potential: less specific")</f>
        <v>2</v>
      </c>
      <c r="K5" s="6" t="n">
        <f aca="false">COUNTIF('Sample review'!AF$2:AF$101,"Potential: conflict")</f>
        <v>1</v>
      </c>
      <c r="L5" s="6" t="n">
        <f aca="false">COUNTIF('Sample review'!AF$2:AF$101,"Insufficient information")</f>
        <v>8</v>
      </c>
      <c r="M5" s="0" t="str">
        <f aca="false">IF(SUM(G5:L5)=B5,"OK","CHECK")</f>
        <v>OK</v>
      </c>
    </row>
    <row r="6" customFormat="false" ht="15" hidden="false" customHeight="false" outlineLevel="0" collapsed="false">
      <c r="A6" s="0" t="s">
        <v>1634</v>
      </c>
      <c r="B6" s="0" t="n">
        <f aca="false">COUNTA('Sample review'!AG$2:AG$101)</f>
        <v>100</v>
      </c>
      <c r="C6" s="0" t="n">
        <f aca="false">SUMPRODUCT(--ISNUMBER(SEARCH(",E,",","&amp;'Sample review'!$AJ$2:$AJ$101&amp;",")))</f>
        <v>5</v>
      </c>
      <c r="D6" s="0" t="n">
        <f aca="false">B6-C6</f>
        <v>95</v>
      </c>
      <c r="E6" s="0" t="n">
        <f aca="false">SUMPRODUCT(('Sample review'!AG$2:AG$101="Exact agreement")*(1-ISNUMBER(SEARCH(",E,",","&amp;'Sample review'!$AJ$2:$AJ$101&amp;","))))</f>
        <v>53</v>
      </c>
      <c r="F6" s="5" t="n">
        <f aca="false">IF(D6=0,"",E6/D6)</f>
        <v>0.557894736842105</v>
      </c>
      <c r="G6" s="6" t="n">
        <f aca="false">COUNTIF('Sample review'!AG$2:AG$101,"Exact agreement")</f>
        <v>53</v>
      </c>
      <c r="H6" s="6" t="n">
        <f aca="false">COUNTIF('Sample review'!AG$2:AG$101,"Explained: recorded supported")</f>
        <v>6</v>
      </c>
      <c r="I6" s="6" t="n">
        <f aca="false">COUNTIF('Sample review'!AG$2:AG$101,"Explained: rule interpretation")</f>
        <v>25</v>
      </c>
      <c r="J6" s="6" t="n">
        <f aca="false">COUNTIF('Sample review'!AG$2:AG$101,"Potential: less specific")</f>
        <v>7</v>
      </c>
      <c r="K6" s="6" t="n">
        <f aca="false">COUNTIF('Sample review'!AG$2:AG$101,"Potential: conflict")</f>
        <v>1</v>
      </c>
      <c r="L6" s="6" t="n">
        <f aca="false">COUNTIF('Sample review'!AG$2:AG$101,"Insufficient information")</f>
        <v>8</v>
      </c>
      <c r="M6" s="0" t="str">
        <f aca="false">IF(SUM(G6:L6)=B6,"OK","CHECK")</f>
        <v>OK</v>
      </c>
    </row>
    <row r="7" customFormat="false" ht="15" hidden="false" customHeight="false" outlineLevel="0" collapsed="false">
      <c r="A7" s="0" t="s">
        <v>1635</v>
      </c>
      <c r="B7" s="0" t="n">
        <f aca="false">COUNTA('Sample review'!AH$2:AH$101)</f>
        <v>100</v>
      </c>
      <c r="C7" s="0" t="n">
        <f aca="false">SUMPRODUCT(--ISNUMBER(SEARCH(",S,",","&amp;'Sample review'!$AJ$2:$AJ$101&amp;",")))</f>
        <v>6</v>
      </c>
      <c r="D7" s="0" t="n">
        <f aca="false">B7-C7</f>
        <v>94</v>
      </c>
      <c r="E7" s="0" t="n">
        <f aca="false">SUMPRODUCT(('Sample review'!AH$2:AH$101="Exact agreement")*(1-ISNUMBER(SEARCH(",S,",","&amp;'Sample review'!$AJ$2:$AJ$101&amp;","))))</f>
        <v>61</v>
      </c>
      <c r="F7" s="5" t="n">
        <f aca="false">IF(D7=0,"",E7/D7)</f>
        <v>0.648936170212766</v>
      </c>
      <c r="G7" s="6" t="n">
        <f aca="false">COUNTIF('Sample review'!AH$2:AH$101,"Exact agreement")</f>
        <v>61</v>
      </c>
      <c r="H7" s="6" t="n">
        <f aca="false">COUNTIF('Sample review'!AH$2:AH$101,"Explained: recorded supported")</f>
        <v>7</v>
      </c>
      <c r="I7" s="6" t="n">
        <f aca="false">COUNTIF('Sample review'!AH$2:AH$101,"Explained: rule interpretation")</f>
        <v>17</v>
      </c>
      <c r="J7" s="6" t="n">
        <f aca="false">COUNTIF('Sample review'!AH$2:AH$101,"Potential: less specific")</f>
        <v>5</v>
      </c>
      <c r="K7" s="6" t="n">
        <f aca="false">COUNTIF('Sample review'!AH$2:AH$101,"Potential: conflict")</f>
        <v>0</v>
      </c>
      <c r="L7" s="6" t="n">
        <f aca="false">COUNTIF('Sample review'!AH$2:AH$101,"Insufficient information")</f>
        <v>10</v>
      </c>
      <c r="M7" s="0" t="str">
        <f aca="false">IF(SUM(G7:L7)=B7,"OK","CHECK")</f>
        <v>OK</v>
      </c>
    </row>
    <row r="8" customFormat="false" ht="15" hidden="false" customHeight="false" outlineLevel="0" collapsed="false">
      <c r="A8" s="0" t="s">
        <v>1636</v>
      </c>
      <c r="B8" s="0" t="n">
        <f aca="false">COUNTA('Sample review'!AI$2:AI$101)</f>
        <v>100</v>
      </c>
      <c r="C8" s="0" t="n">
        <f aca="false">SUMPRODUCT(--ISNUMBER(SEARCH(",SS,",","&amp;'Sample review'!$AJ$2:$AJ$101&amp;",")))</f>
        <v>0</v>
      </c>
      <c r="D8" s="0" t="n">
        <f aca="false">B8-C8</f>
        <v>100</v>
      </c>
      <c r="E8" s="0" t="n">
        <f aca="false">SUMPRODUCT(('Sample review'!AI$2:AI$101="Exact agreement")*(1-ISNUMBER(SEARCH(",SS,",","&amp;'Sample review'!$AJ$2:$AJ$101&amp;","))))</f>
        <v>51</v>
      </c>
      <c r="F8" s="5" t="n">
        <f aca="false">IF(D8=0,"",E8/D8)</f>
        <v>0.51</v>
      </c>
      <c r="G8" s="6" t="n">
        <f aca="false">COUNTIF('Sample review'!AI$2:AI$101,"Exact agreement")</f>
        <v>51</v>
      </c>
      <c r="H8" s="6" t="n">
        <f aca="false">COUNTIF('Sample review'!AI$2:AI$101,"Explained: recorded supported")</f>
        <v>10</v>
      </c>
      <c r="I8" s="6" t="n">
        <f aca="false">COUNTIF('Sample review'!AI$2:AI$101,"Explained: rule interpretation")</f>
        <v>29</v>
      </c>
      <c r="J8" s="6" t="n">
        <f aca="false">COUNTIF('Sample review'!AI$2:AI$101,"Potential: less specific")</f>
        <v>1</v>
      </c>
      <c r="K8" s="6" t="n">
        <f aca="false">COUNTIF('Sample review'!AI$2:AI$101,"Potential: conflict")</f>
        <v>1</v>
      </c>
      <c r="L8" s="6" t="n">
        <f aca="false">COUNTIF('Sample review'!AI$2:AI$101,"Insufficient information")</f>
        <v>8</v>
      </c>
      <c r="M8" s="0" t="str">
        <f aca="false">IF(SUM(G8:L8)=B8,"OK","CHECK")</f>
        <v>OK</v>
      </c>
    </row>
    <row r="10" customFormat="false" ht="15" hidden="false" customHeight="true" outlineLevel="0" collapsed="false">
      <c r="A10" s="7" t="s">
        <v>1637</v>
      </c>
      <c r="B10" s="7"/>
      <c r="C10" s="7"/>
      <c r="D10" s="7"/>
      <c r="E10" s="7"/>
      <c r="F10" s="7"/>
      <c r="G10" s="7"/>
      <c r="H10" s="7"/>
      <c r="I10" s="7"/>
      <c r="J10" s="7"/>
      <c r="K10" s="7"/>
      <c r="L10" s="7"/>
      <c r="M10" s="7"/>
    </row>
    <row r="11" customFormat="false" ht="15" hidden="false" customHeight="false" outlineLevel="0" collapsed="false">
      <c r="A11" s="7"/>
      <c r="B11" s="7"/>
      <c r="C11" s="7"/>
      <c r="D11" s="7"/>
      <c r="E11" s="7"/>
      <c r="F11" s="7"/>
      <c r="G11" s="7"/>
      <c r="H11" s="7"/>
      <c r="I11" s="7"/>
      <c r="J11" s="7"/>
      <c r="K11" s="7"/>
      <c r="L11" s="7"/>
      <c r="M11" s="7"/>
    </row>
    <row r="12" customFormat="false" ht="15" hidden="false" customHeight="false" outlineLevel="0" collapsed="false">
      <c r="A12" s="7"/>
      <c r="B12" s="7"/>
      <c r="C12" s="7"/>
      <c r="D12" s="7"/>
      <c r="E12" s="7"/>
      <c r="F12" s="7"/>
      <c r="G12" s="7"/>
      <c r="H12" s="7"/>
      <c r="I12" s="7"/>
      <c r="J12" s="7"/>
      <c r="K12" s="7"/>
      <c r="L12" s="7"/>
      <c r="M12" s="7"/>
    </row>
    <row r="13" customFormat="false" ht="15" hidden="false" customHeight="false" outlineLevel="0" collapsed="false">
      <c r="A13" s="7"/>
      <c r="B13" s="7"/>
      <c r="C13" s="7"/>
      <c r="D13" s="7"/>
      <c r="E13" s="7"/>
      <c r="F13" s="7"/>
      <c r="G13" s="7"/>
      <c r="H13" s="7"/>
      <c r="I13" s="7"/>
      <c r="J13" s="7"/>
      <c r="K13" s="7"/>
      <c r="L13" s="7"/>
      <c r="M13" s="7"/>
    </row>
  </sheetData>
  <mergeCells count="1">
    <mergeCell ref="A10:M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20"/>
  </cols>
  <sheetData>
    <row r="1" customFormat="false" ht="15" hidden="false" customHeight="false" outlineLevel="0" collapsed="false">
      <c r="A1" s="1" t="s">
        <v>1638</v>
      </c>
      <c r="B1" s="1" t="s">
        <v>1639</v>
      </c>
    </row>
    <row r="2" customFormat="false" ht="15" hidden="false" customHeight="false" outlineLevel="0" collapsed="false">
      <c r="A2" s="8" t="s">
        <v>1640</v>
      </c>
      <c r="B2" s="8" t="s">
        <v>1641</v>
      </c>
    </row>
    <row r="3" customFormat="false" ht="28.35" hidden="false" customHeight="false" outlineLevel="0" collapsed="false">
      <c r="A3" s="8" t="s">
        <v>1642</v>
      </c>
      <c r="B3" s="8" t="s">
        <v>1643</v>
      </c>
    </row>
    <row r="4" customFormat="false" ht="15" hidden="false" customHeight="false" outlineLevel="0" collapsed="false">
      <c r="A4" s="8" t="s">
        <v>1644</v>
      </c>
      <c r="B4" s="8" t="s">
        <v>1645</v>
      </c>
    </row>
    <row r="5" customFormat="false" ht="15" hidden="false" customHeight="false" outlineLevel="0" collapsed="false">
      <c r="A5" s="8" t="s">
        <v>60</v>
      </c>
      <c r="B5" s="8" t="s">
        <v>1646</v>
      </c>
    </row>
    <row r="6" customFormat="false" ht="28.35" hidden="false" customHeight="false" outlineLevel="0" collapsed="false">
      <c r="A6" s="8" t="s">
        <v>61</v>
      </c>
      <c r="B6" s="8" t="s">
        <v>1647</v>
      </c>
    </row>
    <row r="7" customFormat="false" ht="15" hidden="false" customHeight="false" outlineLevel="0" collapsed="false">
      <c r="A7" s="8" t="s">
        <v>62</v>
      </c>
      <c r="B7" s="8" t="s">
        <v>1648</v>
      </c>
    </row>
    <row r="8" customFormat="false" ht="28.35" hidden="false" customHeight="false" outlineLevel="0" collapsed="false">
      <c r="A8" s="8" t="s">
        <v>227</v>
      </c>
      <c r="B8" s="8" t="s">
        <v>1649</v>
      </c>
    </row>
    <row r="9" customFormat="false" ht="15" hidden="false" customHeight="false" outlineLevel="0" collapsed="false">
      <c r="A9" s="8" t="s">
        <v>136</v>
      </c>
      <c r="B9" s="8" t="s">
        <v>1650</v>
      </c>
    </row>
    <row r="10" customFormat="false" ht="15" hidden="false" customHeight="false" outlineLevel="0" collapsed="false">
      <c r="A10" s="8" t="s">
        <v>90</v>
      </c>
      <c r="B10" s="8" t="s">
        <v>1651</v>
      </c>
    </row>
    <row r="11" customFormat="false" ht="28.35" hidden="false" customHeight="false" outlineLevel="0" collapsed="false">
      <c r="A11" s="8" t="s">
        <v>1652</v>
      </c>
      <c r="B11" s="8" t="s">
        <v>1653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2026-10-28T10:45:36Z</dcterms:created>
  <dc:creator>openpyxl</dc:creator>
  <dc:description/>
  <dc:language>en-US</dc:language>
  <cp:lastModifiedBy/>
  <dcterms:modified xsi:type="dcterms:W3CDTF">2026-10-28T10:45:36Z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